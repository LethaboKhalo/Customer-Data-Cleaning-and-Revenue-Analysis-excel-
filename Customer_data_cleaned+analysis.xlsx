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B212916F-B5DF-4AB3-80DA-197A7B779192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Sheet1" sheetId="1" r:id="rId1"/>
    <sheet name="Analysis" sheetId="2" r:id="rId2"/>
  </sheets>
  <calcPr calcId="191028"/>
  <pivotCaches>
    <pivotCache cacheId="5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2" i="1"/>
  <c r="D19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2" i="1"/>
  <c r="J3" i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2" i="1"/>
</calcChain>
</file>

<file path=xl/sharedStrings.xml><?xml version="1.0" encoding="utf-8"?>
<sst xmlns="http://schemas.openxmlformats.org/spreadsheetml/2006/main" count="3434" uniqueCount="789">
  <si>
    <t>Customer_ID</t>
  </si>
  <si>
    <t>Name</t>
  </si>
  <si>
    <t>Name_clean</t>
  </si>
  <si>
    <t>Name_clean2</t>
  </si>
  <si>
    <t>Age</t>
  </si>
  <si>
    <t>Age_clean</t>
  </si>
  <si>
    <t>Country</t>
  </si>
  <si>
    <t>Country_clean</t>
  </si>
  <si>
    <t>Signup_Date</t>
  </si>
  <si>
    <t>Signup_Date_clean</t>
  </si>
  <si>
    <t>Month</t>
  </si>
  <si>
    <t>Last_Login_Timestamp</t>
  </si>
  <si>
    <t>Last_Login_Timestamp_clean</t>
  </si>
  <si>
    <t>Total_Spend</t>
  </si>
  <si>
    <t>Total_Spend_Clean</t>
  </si>
  <si>
    <t>Notes</t>
  </si>
  <si>
    <t>Notes_clean</t>
  </si>
  <si>
    <t>John Smith</t>
  </si>
  <si>
    <t>United Kingdom</t>
  </si>
  <si>
    <t>2023-12-13T00:00:00Z</t>
  </si>
  <si>
    <t>Great customer $$$</t>
  </si>
  <si>
    <t xml:space="preserve"> David Brown </t>
  </si>
  <si>
    <t>Germany</t>
  </si>
  <si>
    <t>2023-11-29T00:00:00Z</t>
  </si>
  <si>
    <t>Renée Dupont</t>
  </si>
  <si>
    <t>Japan</t>
  </si>
  <si>
    <t>2023-02-22</t>
  </si>
  <si>
    <t>Holiday signup %</t>
  </si>
  <si>
    <t>Maria Lopez</t>
  </si>
  <si>
    <t>United States</t>
  </si>
  <si>
    <t>10-10-2023</t>
  </si>
  <si>
    <t xml:space="preserve"> Renée Dupont </t>
  </si>
  <si>
    <t>2023-04-30</t>
  </si>
  <si>
    <t>Frequent buyer ñ</t>
  </si>
  <si>
    <t xml:space="preserve"> Olivia Wilson </t>
  </si>
  <si>
    <t>11/08/2023</t>
  </si>
  <si>
    <t>Regular shopper</t>
  </si>
  <si>
    <t>Akira Tanaka</t>
  </si>
  <si>
    <t>Spain</t>
  </si>
  <si>
    <t>17-12-2023</t>
  </si>
  <si>
    <t>VIP client $$$</t>
  </si>
  <si>
    <t>Lucas Silva</t>
  </si>
  <si>
    <t>April 19 2023</t>
  </si>
  <si>
    <t xml:space="preserve"> Carlos García </t>
  </si>
  <si>
    <t>UAE</t>
  </si>
  <si>
    <t>October 26 2023</t>
  </si>
  <si>
    <t>Corporate account</t>
  </si>
  <si>
    <t>Li Wei</t>
  </si>
  <si>
    <t>France</t>
  </si>
  <si>
    <t>December 15 2023</t>
  </si>
  <si>
    <t xml:space="preserve"> Ahmed Hassan </t>
  </si>
  <si>
    <t>2023-12-16T00:00:00Z</t>
  </si>
  <si>
    <t>Prefers email %</t>
  </si>
  <si>
    <t xml:space="preserve"> Sofia Rossi </t>
  </si>
  <si>
    <t>Brazil</t>
  </si>
  <si>
    <t>09/14/2023</t>
  </si>
  <si>
    <t>Carlos García</t>
  </si>
  <si>
    <t>03-11-2023</t>
  </si>
  <si>
    <t>Student account</t>
  </si>
  <si>
    <t xml:space="preserve"> Maria Lopez </t>
  </si>
  <si>
    <t>Egypt</t>
  </si>
  <si>
    <t>2023-02-05T00:00:00Z</t>
  </si>
  <si>
    <t>Ireland</t>
  </si>
  <si>
    <t>12/20/2023</t>
  </si>
  <si>
    <t xml:space="preserve"> Ethan Clark </t>
  </si>
  <si>
    <t>2023-10-29T00:00:00Z</t>
  </si>
  <si>
    <t xml:space="preserve"> Emily Davis </t>
  </si>
  <si>
    <t>Sweden</t>
  </si>
  <si>
    <t>02-05-2023</t>
  </si>
  <si>
    <t xml:space="preserve"> Isabella Martinez </t>
  </si>
  <si>
    <t>February 19 2023</t>
  </si>
  <si>
    <t>2023-04-08T00:00:00Z</t>
  </si>
  <si>
    <t>Emily Davis</t>
  </si>
  <si>
    <t>2023-01-26T00:00:00Z</t>
  </si>
  <si>
    <t>Sofia Rossi</t>
  </si>
  <si>
    <t>2023-07-14</t>
  </si>
  <si>
    <t>03/21/2023</t>
  </si>
  <si>
    <t>2023-09-15T00:00:00Z</t>
  </si>
  <si>
    <t xml:space="preserve"> Mia Thompson </t>
  </si>
  <si>
    <t>2023-10-24T00:00:00Z</t>
  </si>
  <si>
    <t>Ahmed Hassan</t>
  </si>
  <si>
    <t>03-05-2023</t>
  </si>
  <si>
    <t>Björn Larsson</t>
  </si>
  <si>
    <t>2023-02-07T00:00:00Z</t>
  </si>
  <si>
    <t>Newsletter subscriber %</t>
  </si>
  <si>
    <t xml:space="preserve"> Akira Tanaka </t>
  </si>
  <si>
    <t>20-05-2023</t>
  </si>
  <si>
    <t>2023-05-22</t>
  </si>
  <si>
    <t>André Santos</t>
  </si>
  <si>
    <t>2023-02-27</t>
  </si>
  <si>
    <t>Olivia Wilson</t>
  </si>
  <si>
    <t>07-06-2023</t>
  </si>
  <si>
    <t xml:space="preserve"> Zoë Kravitz </t>
  </si>
  <si>
    <t>11/14/2023</t>
  </si>
  <si>
    <t xml:space="preserve"> John Smith </t>
  </si>
  <si>
    <t>05/17/2023</t>
  </si>
  <si>
    <t>2023-04-25</t>
  </si>
  <si>
    <t xml:space="preserve"> Björn Larsson </t>
  </si>
  <si>
    <t>2023-06-19</t>
  </si>
  <si>
    <t>2023-08-12T00:00:00Z</t>
  </si>
  <si>
    <t>July 06 2023</t>
  </si>
  <si>
    <t>Zoë Kravitz</t>
  </si>
  <si>
    <t>Mexico</t>
  </si>
  <si>
    <t>December 08 2023</t>
  </si>
  <si>
    <t>David Brown</t>
  </si>
  <si>
    <t>2023-11-12T00:00:00Z</t>
  </si>
  <si>
    <t>August 27 2023</t>
  </si>
  <si>
    <t>Fatima Ali</t>
  </si>
  <si>
    <t>01-05-2023</t>
  </si>
  <si>
    <t>2023-11-19T00:00:00Z</t>
  </si>
  <si>
    <t>04/23/2023</t>
  </si>
  <si>
    <t>South Korea</t>
  </si>
  <si>
    <t>2023-12-08T00:00:00Z</t>
  </si>
  <si>
    <t>19-08-2023</t>
  </si>
  <si>
    <t xml:space="preserve"> Liam O’Connor </t>
  </si>
  <si>
    <t>August 01 2023</t>
  </si>
  <si>
    <t>China</t>
  </si>
  <si>
    <t>2023-09-02</t>
  </si>
  <si>
    <t>High engagement</t>
  </si>
  <si>
    <t>May 20 2023</t>
  </si>
  <si>
    <t xml:space="preserve"> Sarah Johnson </t>
  </si>
  <si>
    <t>17-06-2023</t>
  </si>
  <si>
    <t>Italy</t>
  </si>
  <si>
    <t>2023-08-31</t>
  </si>
  <si>
    <t>Sarah Johnson</t>
  </si>
  <si>
    <t>2023-06-09</t>
  </si>
  <si>
    <t>Noah Martin</t>
  </si>
  <si>
    <t>22-02-2023</t>
  </si>
  <si>
    <t>28-11-2023</t>
  </si>
  <si>
    <t>2023-04-01T00:00:00Z</t>
  </si>
  <si>
    <t>08/19/2023</t>
  </si>
  <si>
    <t>Isabella Martinez</t>
  </si>
  <si>
    <t>13-05-2023</t>
  </si>
  <si>
    <t>2023-09-08T00:00:00Z</t>
  </si>
  <si>
    <t>2023-06-06T00:00:00Z</t>
  </si>
  <si>
    <t>2023-04-29</t>
  </si>
  <si>
    <t>02-11-2023</t>
  </si>
  <si>
    <t>2023-01-24</t>
  </si>
  <si>
    <t>2023-04-05</t>
  </si>
  <si>
    <t>03/19/2023</t>
  </si>
  <si>
    <t>Anne Müller</t>
  </si>
  <si>
    <t>September 25 2023</t>
  </si>
  <si>
    <t>04/17/2023</t>
  </si>
  <si>
    <t xml:space="preserve"> Chloe Dubois </t>
  </si>
  <si>
    <t>2023-05-30</t>
  </si>
  <si>
    <t>2023-08-06</t>
  </si>
  <si>
    <t xml:space="preserve"> Li Wei </t>
  </si>
  <si>
    <t>2023-08-13</t>
  </si>
  <si>
    <t>Chloe Dubois</t>
  </si>
  <si>
    <t>2023-06-15T00:00:00Z</t>
  </si>
  <si>
    <t>2023-08-29T00:00:00Z</t>
  </si>
  <si>
    <t>29-07-2023</t>
  </si>
  <si>
    <t>2023-08-21</t>
  </si>
  <si>
    <t>2023-04-07T00:00:00Z</t>
  </si>
  <si>
    <t>2023-03-04</t>
  </si>
  <si>
    <t>2023-08-25</t>
  </si>
  <si>
    <t>10/10/2023</t>
  </si>
  <si>
    <t>02-01-2023</t>
  </si>
  <si>
    <t>22-08-2023</t>
  </si>
  <si>
    <t>December 28 2023</t>
  </si>
  <si>
    <t>2023-02-21T00:00:00Z</t>
  </si>
  <si>
    <t>2023-11-29</t>
  </si>
  <si>
    <t>2023-04-27</t>
  </si>
  <si>
    <t>27-08-2023</t>
  </si>
  <si>
    <t xml:space="preserve"> Daniel Kim </t>
  </si>
  <si>
    <t>06/04/2023</t>
  </si>
  <si>
    <t>Daniel Kim</t>
  </si>
  <si>
    <t>December 04 2023</t>
  </si>
  <si>
    <t>11/22/2023</t>
  </si>
  <si>
    <t>16-02-2023</t>
  </si>
  <si>
    <t>26-03-2023</t>
  </si>
  <si>
    <t>13-10-2023</t>
  </si>
  <si>
    <t>October 27 2023</t>
  </si>
  <si>
    <t>2023-11-28</t>
  </si>
  <si>
    <t>02/19/2023</t>
  </si>
  <si>
    <t>2023-08-01</t>
  </si>
  <si>
    <t>20-02-2023</t>
  </si>
  <si>
    <t>2023-11-25T00:00:00Z</t>
  </si>
  <si>
    <t>30-04-2023</t>
  </si>
  <si>
    <t>2023-03-09</t>
  </si>
  <si>
    <t>2023-09-27</t>
  </si>
  <si>
    <t>2023-12-04T00:00:00Z</t>
  </si>
  <si>
    <t>2023-02-07</t>
  </si>
  <si>
    <t>Mia Thompson</t>
  </si>
  <si>
    <t>2023-11-02T00:00:00Z</t>
  </si>
  <si>
    <t>Liam O’Connor</t>
  </si>
  <si>
    <t>08/20/2023</t>
  </si>
  <si>
    <t xml:space="preserve"> André Santos </t>
  </si>
  <si>
    <t>07/11/2023</t>
  </si>
  <si>
    <t>2023-10-12</t>
  </si>
  <si>
    <t>04-11-2023</t>
  </si>
  <si>
    <t>2023-05-23T00:00:00Z</t>
  </si>
  <si>
    <t>01/04/2023</t>
  </si>
  <si>
    <t>April 21 2023</t>
  </si>
  <si>
    <t>2023-04-21T00:00:00Z</t>
  </si>
  <si>
    <t xml:space="preserve"> Lucas Silva </t>
  </si>
  <si>
    <t>March 08 2023</t>
  </si>
  <si>
    <t>October 22 2023</t>
  </si>
  <si>
    <t xml:space="preserve"> Noah Martin </t>
  </si>
  <si>
    <t>20-12-2023</t>
  </si>
  <si>
    <t>2023-05-01</t>
  </si>
  <si>
    <t>2023-08-26T00:00:00Z</t>
  </si>
  <si>
    <t>2023-10-30</t>
  </si>
  <si>
    <t>2023-11-11T00:00:00Z</t>
  </si>
  <si>
    <t>February 01 2023</t>
  </si>
  <si>
    <t>03-02-2023</t>
  </si>
  <si>
    <t>2023-03-21</t>
  </si>
  <si>
    <t>November 02 2023</t>
  </si>
  <si>
    <t>08/18/2023</t>
  </si>
  <si>
    <t>2023-12-31T00:00:00Z</t>
  </si>
  <si>
    <t>Ethan Clark</t>
  </si>
  <si>
    <t>2023-06-13</t>
  </si>
  <si>
    <t>2023-08-18T00:00:00Z</t>
  </si>
  <si>
    <t>26-02-2023</t>
  </si>
  <si>
    <t>2023-04-06</t>
  </si>
  <si>
    <t>2023-08-29</t>
  </si>
  <si>
    <t>25-10-2023</t>
  </si>
  <si>
    <t>19-01-2023</t>
  </si>
  <si>
    <t>11/28/2023</t>
  </si>
  <si>
    <t>17-07-2023</t>
  </si>
  <si>
    <t>11/05/2023</t>
  </si>
  <si>
    <t>March 27 2023</t>
  </si>
  <si>
    <t>2023-07-06T00:00:00Z</t>
  </si>
  <si>
    <t>10/21/2023</t>
  </si>
  <si>
    <t xml:space="preserve"> Anne Müller </t>
  </si>
  <si>
    <t>2023-10-15</t>
  </si>
  <si>
    <t>February 07 2023</t>
  </si>
  <si>
    <t>06/03/2023</t>
  </si>
  <si>
    <t>14-01-2023</t>
  </si>
  <si>
    <t>September 27 2023</t>
  </si>
  <si>
    <t>2023-03-07T00:00:00Z</t>
  </si>
  <si>
    <t>24-03-2023</t>
  </si>
  <si>
    <t>17-11-2023</t>
  </si>
  <si>
    <t>2023-09-12T00:00:00Z</t>
  </si>
  <si>
    <t>March 22 2023</t>
  </si>
  <si>
    <t>08-03-2023</t>
  </si>
  <si>
    <t>May 29 2023</t>
  </si>
  <si>
    <t>August 28 2023</t>
  </si>
  <si>
    <t>2023-01-25</t>
  </si>
  <si>
    <t>26-07-2023</t>
  </si>
  <si>
    <t xml:space="preserve"> Fatima Ali </t>
  </si>
  <si>
    <t>2023-11-16T00:00:00Z</t>
  </si>
  <si>
    <t>2023-07-25T00:00:00Z</t>
  </si>
  <si>
    <t>10-11-2023</t>
  </si>
  <si>
    <t>2023-09-01</t>
  </si>
  <si>
    <t>2023-07-30T00:00:00Z</t>
  </si>
  <si>
    <t>12-07-2023</t>
  </si>
  <si>
    <t>November 09 2023</t>
  </si>
  <si>
    <t>December 20 2023</t>
  </si>
  <si>
    <t>2023-05-29</t>
  </si>
  <si>
    <t>2023-05-19T00:00:00Z</t>
  </si>
  <si>
    <t>March 31 2023</t>
  </si>
  <si>
    <t>2023-10-18T00:00:00Z</t>
  </si>
  <si>
    <t>05/20/2023</t>
  </si>
  <si>
    <t>2023-03-31T00:00:00Z</t>
  </si>
  <si>
    <t>02-09-2023</t>
  </si>
  <si>
    <t>14-05-2023</t>
  </si>
  <si>
    <t>24-11-2023</t>
  </si>
  <si>
    <t>2023-08-30T00:00:00Z</t>
  </si>
  <si>
    <t>2023-02-01T00:00:00Z</t>
  </si>
  <si>
    <t>February 05 2023</t>
  </si>
  <si>
    <t>2023-02-11T00:00:00Z</t>
  </si>
  <si>
    <t>12-01-2023</t>
  </si>
  <si>
    <t>2023-05-06</t>
  </si>
  <si>
    <t>2023-10-23T00:00:00Z</t>
  </si>
  <si>
    <t>2023-05-21</t>
  </si>
  <si>
    <t>26-09-2023</t>
  </si>
  <si>
    <t>12/29/2023</t>
  </si>
  <si>
    <t>15-04-2023</t>
  </si>
  <si>
    <t>2023-12-11T00:00:00Z</t>
  </si>
  <si>
    <t>2023-04-08</t>
  </si>
  <si>
    <t>2023-08-27T00:00:00Z</t>
  </si>
  <si>
    <t>09-07-2023</t>
  </si>
  <si>
    <t>November 25 2023</t>
  </si>
  <si>
    <t>2023-01-07</t>
  </si>
  <si>
    <t>2023-05-19</t>
  </si>
  <si>
    <t>December 31 2023</t>
  </si>
  <si>
    <t>07/16/2023</t>
  </si>
  <si>
    <t>2023-06-17</t>
  </si>
  <si>
    <t>2023-02-13T00:00:00Z</t>
  </si>
  <si>
    <t>12-06-2023</t>
  </si>
  <si>
    <t>07-01-2023</t>
  </si>
  <si>
    <t>18-05-2023</t>
  </si>
  <si>
    <t>June 18 2023</t>
  </si>
  <si>
    <t>23-07-2023</t>
  </si>
  <si>
    <t>2023-10-31T00:00:00Z</t>
  </si>
  <si>
    <t>13-03-2023</t>
  </si>
  <si>
    <t>2023-10-01T00:00:00Z</t>
  </si>
  <si>
    <t>July 20 2023</t>
  </si>
  <si>
    <t>28-06-2023</t>
  </si>
  <si>
    <t>2023-07-22</t>
  </si>
  <si>
    <t>2023-10-23</t>
  </si>
  <si>
    <t>July 18 2023</t>
  </si>
  <si>
    <t>2023-10-15T00:00:00Z</t>
  </si>
  <si>
    <t>17-01-2023</t>
  </si>
  <si>
    <t>12/01/2023</t>
  </si>
  <si>
    <t>2023-04-18T00:00:00Z</t>
  </si>
  <si>
    <t>2023-05-24T00:00:00Z</t>
  </si>
  <si>
    <t>2023-07-30</t>
  </si>
  <si>
    <t>2023-02-02T00:00:00Z</t>
  </si>
  <si>
    <t>October 17 2023</t>
  </si>
  <si>
    <t>August 14 2023</t>
  </si>
  <si>
    <t>2023-12-27</t>
  </si>
  <si>
    <t>March 03 2023</t>
  </si>
  <si>
    <t>June 29 2023</t>
  </si>
  <si>
    <t>2023-12-20</t>
  </si>
  <si>
    <t>May 03 2023</t>
  </si>
  <si>
    <t>12-02-2023</t>
  </si>
  <si>
    <t>06/08/2023</t>
  </si>
  <si>
    <t>27-03-2023</t>
  </si>
  <si>
    <t>2023-02-09T00:00:00Z</t>
  </si>
  <si>
    <t>09-06-2023</t>
  </si>
  <si>
    <t>26-08-2023</t>
  </si>
  <si>
    <t>2023-06-27</t>
  </si>
  <si>
    <t>14-03-2023</t>
  </si>
  <si>
    <t>June 11 2023</t>
  </si>
  <si>
    <t>2023-05-16</t>
  </si>
  <si>
    <t>July 02 2023</t>
  </si>
  <si>
    <t>2023-05-08</t>
  </si>
  <si>
    <t>2023-07-10</t>
  </si>
  <si>
    <t>06-04-2023</t>
  </si>
  <si>
    <t>2023-09-03T00:00:00Z</t>
  </si>
  <si>
    <t>January 30 2023</t>
  </si>
  <si>
    <t>2023-04-23T00:00:00Z</t>
  </si>
  <si>
    <t>01/29/2023</t>
  </si>
  <si>
    <t>2023-06-15</t>
  </si>
  <si>
    <t>2023-10-28</t>
  </si>
  <si>
    <t>2023-12-22T00:00:00Z</t>
  </si>
  <si>
    <t>05/16/2023</t>
  </si>
  <si>
    <t>07/12/2023</t>
  </si>
  <si>
    <t>2023-03-22</t>
  </si>
  <si>
    <t>06/02/2023</t>
  </si>
  <si>
    <t>2023-04-13</t>
  </si>
  <si>
    <t>2023-02-16T00:00:00Z</t>
  </si>
  <si>
    <t>2023-05-18T00:00:00Z</t>
  </si>
  <si>
    <t>2023-07-18T00:00:00Z</t>
  </si>
  <si>
    <t>January 22 2023</t>
  </si>
  <si>
    <t>October 12 2023</t>
  </si>
  <si>
    <t>February 27 2023</t>
  </si>
  <si>
    <t>May 16 2023</t>
  </si>
  <si>
    <t>January 20 2023</t>
  </si>
  <si>
    <t>May 24 2023</t>
  </si>
  <si>
    <t>2023-12-30T00:00:00Z</t>
  </si>
  <si>
    <t>07/04/2023</t>
  </si>
  <si>
    <t>2023-05-26</t>
  </si>
  <si>
    <t>2023-12-16</t>
  </si>
  <si>
    <t>August 05 2023</t>
  </si>
  <si>
    <t>12/15/2023</t>
  </si>
  <si>
    <t>06/25/2023</t>
  </si>
  <si>
    <t>10-07-2023</t>
  </si>
  <si>
    <t>15-03-2023</t>
  </si>
  <si>
    <t>20-08-2023</t>
  </si>
  <si>
    <t>November 21 2023</t>
  </si>
  <si>
    <t>09/29/2023</t>
  </si>
  <si>
    <t>2023-03-27</t>
  </si>
  <si>
    <t>08-09-2023</t>
  </si>
  <si>
    <t>2023-12-01</t>
  </si>
  <si>
    <t>2023-12-22</t>
  </si>
  <si>
    <t>2023-11-13</t>
  </si>
  <si>
    <t>December 27 2023</t>
  </si>
  <si>
    <t>October 21 2023</t>
  </si>
  <si>
    <t>02/21/2023</t>
  </si>
  <si>
    <t>12/06/2023</t>
  </si>
  <si>
    <t>July 24 2023</t>
  </si>
  <si>
    <t>2023-08-02T00:00:00Z</t>
  </si>
  <si>
    <t>04-09-2023</t>
  </si>
  <si>
    <t>09/11/2023</t>
  </si>
  <si>
    <t>07/26/2023</t>
  </si>
  <si>
    <t>February 22 2023</t>
  </si>
  <si>
    <t>2023-07-06</t>
  </si>
  <si>
    <t>2023-08-20</t>
  </si>
  <si>
    <t>2023-12-26</t>
  </si>
  <si>
    <t>2023-08-23T00:00:00Z</t>
  </si>
  <si>
    <t>2023-12-12T00:00:00Z</t>
  </si>
  <si>
    <t>13-04-2023</t>
  </si>
  <si>
    <t>July 03 2023</t>
  </si>
  <si>
    <t>July 15 2023</t>
  </si>
  <si>
    <t>2023-09-21</t>
  </si>
  <si>
    <t>2023-10-21T00:00:00Z</t>
  </si>
  <si>
    <t>October 02 2023</t>
  </si>
  <si>
    <t>2023-05-12T00:00:00Z</t>
  </si>
  <si>
    <t>2023-04-16T00:00:00Z</t>
  </si>
  <si>
    <t>2023-06-11</t>
  </si>
  <si>
    <t>08/31/2023</t>
  </si>
  <si>
    <t>2023-01-06T00:00:00Z</t>
  </si>
  <si>
    <t>18-04-2023</t>
  </si>
  <si>
    <t>2023-12-10T00:00:00Z</t>
  </si>
  <si>
    <t>2023-06-18T00:00:00Z</t>
  </si>
  <si>
    <t>05/07/2023</t>
  </si>
  <si>
    <t>03-07-2023</t>
  </si>
  <si>
    <t>2023-05-14T00:00:00Z</t>
  </si>
  <si>
    <t>March 13 2023</t>
  </si>
  <si>
    <t>07/09/2023</t>
  </si>
  <si>
    <t>2023-12-27T00:00:00Z</t>
  </si>
  <si>
    <t>12/05/2023</t>
  </si>
  <si>
    <t>2023-04-03T00:00:00Z</t>
  </si>
  <si>
    <t>April 28 2023</t>
  </si>
  <si>
    <t>2023-12-30</t>
  </si>
  <si>
    <t>2023-08-07T00:00:00Z</t>
  </si>
  <si>
    <t>2023-10-10T00:00:00Z</t>
  </si>
  <si>
    <t>March 24 2023</t>
  </si>
  <si>
    <t>2023-02-10T00:00:00Z</t>
  </si>
  <si>
    <t>2023-12-12</t>
  </si>
  <si>
    <t>05/22/2023</t>
  </si>
  <si>
    <t>2023-07-13T00:00:00Z</t>
  </si>
  <si>
    <t>07/15/2023</t>
  </si>
  <si>
    <t>February 17 2023</t>
  </si>
  <si>
    <t>04/04/2023</t>
  </si>
  <si>
    <t>2023-02-24</t>
  </si>
  <si>
    <t>2023-09-10T00:00:00Z</t>
  </si>
  <si>
    <t>2023-12-19</t>
  </si>
  <si>
    <t>04/11/2023</t>
  </si>
  <si>
    <t>31-03-2023</t>
  </si>
  <si>
    <t>30-12-2023</t>
  </si>
  <si>
    <t>01/12/2023</t>
  </si>
  <si>
    <t>07-05-2023</t>
  </si>
  <si>
    <t>04-10-2023</t>
  </si>
  <si>
    <t>08-06-2023</t>
  </si>
  <si>
    <t>09/25/2023</t>
  </si>
  <si>
    <t>2023-01-04T00:00:00Z</t>
  </si>
  <si>
    <t>February 26 2023</t>
  </si>
  <si>
    <t>13-09-2023</t>
  </si>
  <si>
    <t>October 06 2023</t>
  </si>
  <si>
    <t>2023-05-07</t>
  </si>
  <si>
    <t>2023-10-09T00:00:00Z</t>
  </si>
  <si>
    <t>2023-06-16</t>
  </si>
  <si>
    <t>January 11 2023</t>
  </si>
  <si>
    <t>14-11-2023</t>
  </si>
  <si>
    <t>2023-04-14</t>
  </si>
  <si>
    <t>26-01-2023</t>
  </si>
  <si>
    <t>2023-07-04T00:00:00Z</t>
  </si>
  <si>
    <t>02/09/2023</t>
  </si>
  <si>
    <t>2023-10-13T00:00:00Z</t>
  </si>
  <si>
    <t>06/22/2023</t>
  </si>
  <si>
    <t>18-01-2023</t>
  </si>
  <si>
    <t>2023-12-20T00:00:00Z</t>
  </si>
  <si>
    <t>05-08-2023</t>
  </si>
  <si>
    <t>2023-08-14</t>
  </si>
  <si>
    <t>2023-05-05T00:00:00Z</t>
  </si>
  <si>
    <t>06/19/2023</t>
  </si>
  <si>
    <t>2023-08-27</t>
  </si>
  <si>
    <t>2023-09-18</t>
  </si>
  <si>
    <t>14-09-2023</t>
  </si>
  <si>
    <t>2023-12-02T00:00:00Z</t>
  </si>
  <si>
    <t>June 13 2023</t>
  </si>
  <si>
    <t>2023-11-07T00:00:00Z</t>
  </si>
  <si>
    <t>31-12-2023</t>
  </si>
  <si>
    <t>08/23/2023</t>
  </si>
  <si>
    <t>2023-09-26</t>
  </si>
  <si>
    <t>March 14 2023</t>
  </si>
  <si>
    <t>31-07-2023</t>
  </si>
  <si>
    <t>2023-03-05</t>
  </si>
  <si>
    <t>October 09 2023</t>
  </si>
  <si>
    <t>January 07 2023</t>
  </si>
  <si>
    <t>29-01-2023</t>
  </si>
  <si>
    <t>09/26/2023</t>
  </si>
  <si>
    <t>2023-07-31</t>
  </si>
  <si>
    <t>09-10-2023</t>
  </si>
  <si>
    <t>2023-01-29T00:00:00Z</t>
  </si>
  <si>
    <t>18-03-2023</t>
  </si>
  <si>
    <t>28-12-2023</t>
  </si>
  <si>
    <t>June 24 2023</t>
  </si>
  <si>
    <t>27-05-2023</t>
  </si>
  <si>
    <t>2023-06-09T00:00:00Z</t>
  </si>
  <si>
    <t>2023-01-28</t>
  </si>
  <si>
    <t>February 10 2023</t>
  </si>
  <si>
    <t>04/25/2023</t>
  </si>
  <si>
    <t>2023-09-07</t>
  </si>
  <si>
    <t>18-10-2023</t>
  </si>
  <si>
    <t>02/16/2023</t>
  </si>
  <si>
    <t>10/07/2023</t>
  </si>
  <si>
    <t>12/10/2023</t>
  </si>
  <si>
    <t>April 06 2023</t>
  </si>
  <si>
    <t>2023-01-20T00:00:00Z</t>
  </si>
  <si>
    <t>24-10-2023</t>
  </si>
  <si>
    <t>04-08-2023</t>
  </si>
  <si>
    <t>10/24/2023</t>
  </si>
  <si>
    <t>05/10/2023</t>
  </si>
  <si>
    <t>31-08-2023</t>
  </si>
  <si>
    <t>2023-02-19T00:00:00Z</t>
  </si>
  <si>
    <t>2023-12-11</t>
  </si>
  <si>
    <t>05/09/2023</t>
  </si>
  <si>
    <t>2023-07-12T00:00:00Z</t>
  </si>
  <si>
    <t>07-08-2023</t>
  </si>
  <si>
    <t>2023-04-22T00:00:00Z</t>
  </si>
  <si>
    <t>January 10 2023</t>
  </si>
  <si>
    <t>September 21 2023</t>
  </si>
  <si>
    <t>05/21/2023</t>
  </si>
  <si>
    <t>2023-11-20T00:00:00Z</t>
  </si>
  <si>
    <t>August 02 2023</t>
  </si>
  <si>
    <t>2023-02-18T00:00:00Z</t>
  </si>
  <si>
    <t>2023-01-23</t>
  </si>
  <si>
    <t>2023-03-11</t>
  </si>
  <si>
    <t>04/22/2023</t>
  </si>
  <si>
    <t>August 21 2023</t>
  </si>
  <si>
    <t>26-04-2023</t>
  </si>
  <si>
    <t>2023-02-02</t>
  </si>
  <si>
    <t>30-06-2023</t>
  </si>
  <si>
    <t>07-12-2023</t>
  </si>
  <si>
    <t>23-08-2023</t>
  </si>
  <si>
    <t>2023-07-02</t>
  </si>
  <si>
    <t>October 03 2023</t>
  </si>
  <si>
    <t>January 04 2023</t>
  </si>
  <si>
    <t>03-03-2023</t>
  </si>
  <si>
    <t>07/02/2023</t>
  </si>
  <si>
    <t>11/18/2023</t>
  </si>
  <si>
    <t>02/22/2023</t>
  </si>
  <si>
    <t>2023-02-09</t>
  </si>
  <si>
    <t>2023-03-08</t>
  </si>
  <si>
    <t>10/28/2023</t>
  </si>
  <si>
    <t>2023-09-14T00:00:00Z</t>
  </si>
  <si>
    <t>2023-03-29T00:00:00Z</t>
  </si>
  <si>
    <t>2023-02-26T00:00:00Z</t>
  </si>
  <si>
    <t>2023-01-16</t>
  </si>
  <si>
    <t>2023-11-15T00:00:00Z</t>
  </si>
  <si>
    <t>01/17/2023</t>
  </si>
  <si>
    <t>October 19 2023</t>
  </si>
  <si>
    <t>12-11-2023</t>
  </si>
  <si>
    <t>2023-09-08</t>
  </si>
  <si>
    <t>November 11 2023</t>
  </si>
  <si>
    <t>04/14/2023</t>
  </si>
  <si>
    <t>2023-11-04</t>
  </si>
  <si>
    <t>03/31/2023</t>
  </si>
  <si>
    <t>10/01/2023</t>
  </si>
  <si>
    <t>June 20 2023</t>
  </si>
  <si>
    <t>June 17 2023</t>
  </si>
  <si>
    <t>03/02/2023</t>
  </si>
  <si>
    <t>12/13/2023</t>
  </si>
  <si>
    <t>2023-02-13</t>
  </si>
  <si>
    <t>2023-05-20T00:00:00Z</t>
  </si>
  <si>
    <t>2023-09-13</t>
  </si>
  <si>
    <t>2023-06-16T00:00:00Z</t>
  </si>
  <si>
    <t>24-07-2023</t>
  </si>
  <si>
    <t>August 17 2023</t>
  </si>
  <si>
    <t>2023-01-21T00:00:00Z</t>
  </si>
  <si>
    <t>2023-10-19</t>
  </si>
  <si>
    <t>August 24 2023</t>
  </si>
  <si>
    <t>15-11-2023</t>
  </si>
  <si>
    <t>08/30/2023</t>
  </si>
  <si>
    <t>10-09-2023</t>
  </si>
  <si>
    <t>June 21 2023</t>
  </si>
  <si>
    <t>06/24/2023</t>
  </si>
  <si>
    <t>2023-05-01T00:00:00Z</t>
  </si>
  <si>
    <t>2023-07-26T00:00:00Z</t>
  </si>
  <si>
    <t>03/25/2023</t>
  </si>
  <si>
    <t>2023-03-20</t>
  </si>
  <si>
    <t>21-10-2023</t>
  </si>
  <si>
    <t>2023-04-03</t>
  </si>
  <si>
    <t>28-03-2023</t>
  </si>
  <si>
    <t>2023-06-03</t>
  </si>
  <si>
    <t>22-11-2023</t>
  </si>
  <si>
    <t>2023-11-27</t>
  </si>
  <si>
    <t>2023-02-11</t>
  </si>
  <si>
    <t>March 05 2023</t>
  </si>
  <si>
    <t>2023-04-09</t>
  </si>
  <si>
    <t>2023-02-03T00:00:00Z</t>
  </si>
  <si>
    <t>2023-12-21T00:00:00Z</t>
  </si>
  <si>
    <t>February 18 2023</t>
  </si>
  <si>
    <t>2023-04-10T00:00:00Z</t>
  </si>
  <si>
    <t>06/23/2023</t>
  </si>
  <si>
    <t>2023-01-24T00:00:00Z</t>
  </si>
  <si>
    <t>02/26/2023</t>
  </si>
  <si>
    <t>11/06/2023</t>
  </si>
  <si>
    <t>January 01 2024</t>
  </si>
  <si>
    <t>08-05-2023</t>
  </si>
  <si>
    <t>2023-04-23</t>
  </si>
  <si>
    <t>01-12-2023</t>
  </si>
  <si>
    <t>11/24/2023</t>
  </si>
  <si>
    <t>November 03 2023</t>
  </si>
  <si>
    <t>01/13/2023</t>
  </si>
  <si>
    <t>November 08 2023</t>
  </si>
  <si>
    <t>May 06 2023</t>
  </si>
  <si>
    <t>2023-08-07</t>
  </si>
  <si>
    <t>June 06 2023</t>
  </si>
  <si>
    <t>2023-01-07T00:00:00Z</t>
  </si>
  <si>
    <t>September 18 2023</t>
  </si>
  <si>
    <t>12/24/2023</t>
  </si>
  <si>
    <t>10-02-2023</t>
  </si>
  <si>
    <t>2023-01-05</t>
  </si>
  <si>
    <t>2023-11-05</t>
  </si>
  <si>
    <t>26-11-2023</t>
  </si>
  <si>
    <t>11/20/2023</t>
  </si>
  <si>
    <t>2023-07-20</t>
  </si>
  <si>
    <t>May 04 2023</t>
  </si>
  <si>
    <t>01-01-2024</t>
  </si>
  <si>
    <t>03-04-2023</t>
  </si>
  <si>
    <t>2023-08-06T00:00:00Z</t>
  </si>
  <si>
    <t>2023-01-08T00:00:00Z</t>
  </si>
  <si>
    <t>November 07 2023</t>
  </si>
  <si>
    <t>September 11 2023</t>
  </si>
  <si>
    <t>30-01-2023</t>
  </si>
  <si>
    <t>03/24/2023</t>
  </si>
  <si>
    <t>01/07/2023</t>
  </si>
  <si>
    <t>2023-05-07T00:00:00Z</t>
  </si>
  <si>
    <t>2023-04-28</t>
  </si>
  <si>
    <t>05-12-2023</t>
  </si>
  <si>
    <t>April 09 2023</t>
  </si>
  <si>
    <t>2023-09-26T00:00:00Z</t>
  </si>
  <si>
    <t>2023-09-11T00:00:00Z</t>
  </si>
  <si>
    <t>06/05/2023</t>
  </si>
  <si>
    <t>05/23/2023</t>
  </si>
  <si>
    <t>2023-11-17T00:00:00Z</t>
  </si>
  <si>
    <t>April 29 2023</t>
  </si>
  <si>
    <t>03/09/2023</t>
  </si>
  <si>
    <t>2023-12-29</t>
  </si>
  <si>
    <t>2023-11-18T00:00:00Z</t>
  </si>
  <si>
    <t>17-03-2023</t>
  </si>
  <si>
    <t>2023-11-06</t>
  </si>
  <si>
    <t>20-07-2023</t>
  </si>
  <si>
    <t>2023-09-02T00:00:00Z</t>
  </si>
  <si>
    <t>04/21/2023</t>
  </si>
  <si>
    <t>December 30 2023</t>
  </si>
  <si>
    <t>July 25 2023</t>
  </si>
  <si>
    <t>September 17 2023</t>
  </si>
  <si>
    <t>23-02-2023</t>
  </si>
  <si>
    <t>2023-08-28T00:00:00Z</t>
  </si>
  <si>
    <t>2023-08-04T00:00:00Z</t>
  </si>
  <si>
    <t>April 11 2023</t>
  </si>
  <si>
    <t>04-12-2023</t>
  </si>
  <si>
    <t>04/06/2023</t>
  </si>
  <si>
    <t>02-03-2023</t>
  </si>
  <si>
    <t>02/12/2023</t>
  </si>
  <si>
    <t>2023-10-26T00:00:00Z</t>
  </si>
  <si>
    <t>2023-05-31T00:00:00Z</t>
  </si>
  <si>
    <t>April 20 2023</t>
  </si>
  <si>
    <t>2023-05-02T00:00:00Z</t>
  </si>
  <si>
    <t>21-01-2023</t>
  </si>
  <si>
    <t>12-10-2023</t>
  </si>
  <si>
    <t>2023-04-26</t>
  </si>
  <si>
    <t>January 28 2023</t>
  </si>
  <si>
    <t>2023-05-03</t>
  </si>
  <si>
    <t>08-08-2023</t>
  </si>
  <si>
    <t>03/27/2023</t>
  </si>
  <si>
    <t>2023-08-19T00:00:00Z</t>
  </si>
  <si>
    <t>05/29/2023</t>
  </si>
  <si>
    <t>2023-03-30T00:00:00Z</t>
  </si>
  <si>
    <t>15-08-2023</t>
  </si>
  <si>
    <t>12/26/2023</t>
  </si>
  <si>
    <t>2023-04-15</t>
  </si>
  <si>
    <t>08-12-2023</t>
  </si>
  <si>
    <t>11/07/2023</t>
  </si>
  <si>
    <t>04/13/2023</t>
  </si>
  <si>
    <t>2023-09-15</t>
  </si>
  <si>
    <t>10/11/2023</t>
  </si>
  <si>
    <t>July 16 2023</t>
  </si>
  <si>
    <t>2023-01-14T00:00:00Z</t>
  </si>
  <si>
    <t>2023-01-30</t>
  </si>
  <si>
    <t>01-06-2023</t>
  </si>
  <si>
    <t>2023-06-07T00:00:00Z</t>
  </si>
  <si>
    <t>2023-08-14T00:00:00Z</t>
  </si>
  <si>
    <t>11/04/2023</t>
  </si>
  <si>
    <t>2023-10-22T00:00:00Z</t>
  </si>
  <si>
    <t>07-11-2023</t>
  </si>
  <si>
    <t>April 03 2023</t>
  </si>
  <si>
    <t>August 16 2023</t>
  </si>
  <si>
    <t>January 02 2023</t>
  </si>
  <si>
    <t>23-11-2023</t>
  </si>
  <si>
    <t>07/29/2023</t>
  </si>
  <si>
    <t>2023-03-15</t>
  </si>
  <si>
    <t>2023-09-21T00:00:00Z</t>
  </si>
  <si>
    <t>03/04/2023</t>
  </si>
  <si>
    <t>2023-03-26T00:00:00Z</t>
  </si>
  <si>
    <t>2023-06-26</t>
  </si>
  <si>
    <t>22-12-2023</t>
  </si>
  <si>
    <t>2023-04-20T00:00:00Z</t>
  </si>
  <si>
    <t>09/27/2023</t>
  </si>
  <si>
    <t>02/03/2023</t>
  </si>
  <si>
    <t>22-04-2023</t>
  </si>
  <si>
    <t>09/01/2023</t>
  </si>
  <si>
    <t>05-05-2023</t>
  </si>
  <si>
    <t>10/18/2023</t>
  </si>
  <si>
    <t>2023-08-24</t>
  </si>
  <si>
    <t>June 05 2023</t>
  </si>
  <si>
    <t>2023-04-12T00:00:00Z</t>
  </si>
  <si>
    <t>2023-09-20</t>
  </si>
  <si>
    <t>2023-08-10</t>
  </si>
  <si>
    <t>15-10-2023</t>
  </si>
  <si>
    <t>2023-03-27T00:00:00Z</t>
  </si>
  <si>
    <t>04/09/2023</t>
  </si>
  <si>
    <t>September 24 2023</t>
  </si>
  <si>
    <t>2023-03-17T00:00:00Z</t>
  </si>
  <si>
    <t>02/01/2023</t>
  </si>
  <si>
    <t>06/15/2023</t>
  </si>
  <si>
    <t>January 24 2023</t>
  </si>
  <si>
    <t>2023-01-17T00:00:00Z</t>
  </si>
  <si>
    <t>14-04-2023</t>
  </si>
  <si>
    <t>02/17/2023</t>
  </si>
  <si>
    <t>August 04 2023</t>
  </si>
  <si>
    <t>2023-12-04</t>
  </si>
  <si>
    <t>09-12-2023</t>
  </si>
  <si>
    <t>2023-08-23</t>
  </si>
  <si>
    <t>2023-07-23T00:00:00Z</t>
  </si>
  <si>
    <t>08/16/2023</t>
  </si>
  <si>
    <t>2023-04-24T00:00:00Z</t>
  </si>
  <si>
    <t>2023-01-22T00:00:00Z</t>
  </si>
  <si>
    <t>2023-07-21</t>
  </si>
  <si>
    <t>2023-12-09</t>
  </si>
  <si>
    <t>November 15 2023</t>
  </si>
  <si>
    <t>January 14 2023</t>
  </si>
  <si>
    <t>October 25 2023</t>
  </si>
  <si>
    <t>02-02-2023</t>
  </si>
  <si>
    <t>2023-12-15T00:00:00Z</t>
  </si>
  <si>
    <t>June 23 2023</t>
  </si>
  <si>
    <t>2023-04-04T00:00:00Z</t>
  </si>
  <si>
    <t>July 26 2023</t>
  </si>
  <si>
    <t>2023-05-28</t>
  </si>
  <si>
    <t>20-03-2023</t>
  </si>
  <si>
    <t>2023-11-05T00:00:00Z</t>
  </si>
  <si>
    <t>2023-05-25T00:00:00Z</t>
  </si>
  <si>
    <t>2023-08-21T00:00:00Z</t>
  </si>
  <si>
    <t>2023-11-09T00:00:00Z</t>
  </si>
  <si>
    <t>October 10 2023</t>
  </si>
  <si>
    <t>July 14 2023</t>
  </si>
  <si>
    <t>2023-06-23</t>
  </si>
  <si>
    <t>21-11-2023</t>
  </si>
  <si>
    <t>August 18 2023</t>
  </si>
  <si>
    <t>2023-12-10</t>
  </si>
  <si>
    <t>2023-07-11</t>
  </si>
  <si>
    <t>2023-03-21T00:00:00Z</t>
  </si>
  <si>
    <t>2023-06-13T00:00:00Z</t>
  </si>
  <si>
    <t>July 09 2023</t>
  </si>
  <si>
    <t>04-02-2023</t>
  </si>
  <si>
    <t>2023-06-10T00:00:00Z</t>
  </si>
  <si>
    <t>05/25/2023</t>
  </si>
  <si>
    <t>09/18/2023</t>
  </si>
  <si>
    <t>08-11-2023</t>
  </si>
  <si>
    <t>01-01-2023</t>
  </si>
  <si>
    <t>02/02/2023</t>
  </si>
  <si>
    <t>May 01 2023</t>
  </si>
  <si>
    <t>December 03 2023</t>
  </si>
  <si>
    <t>2023-11-22T00:00:00Z</t>
  </si>
  <si>
    <t>May 11 2023</t>
  </si>
  <si>
    <t>2023-06-22T00:00:00Z</t>
  </si>
  <si>
    <t>05/02/2023</t>
  </si>
  <si>
    <t>23-04-2023</t>
  </si>
  <si>
    <t>2023-02-04</t>
  </si>
  <si>
    <t>03/11/2023</t>
  </si>
  <si>
    <t>2023-09-03</t>
  </si>
  <si>
    <t>2023-02-20T00:00:00Z</t>
  </si>
  <si>
    <t>2023-03-17</t>
  </si>
  <si>
    <t>06/30/2023</t>
  </si>
  <si>
    <t>04/19/2023</t>
  </si>
  <si>
    <t>18-07-2023</t>
  </si>
  <si>
    <t>2023-01-20</t>
  </si>
  <si>
    <t>08/29/2023</t>
  </si>
  <si>
    <t>April 27 2023</t>
  </si>
  <si>
    <t>09/08/2023</t>
  </si>
  <si>
    <t>2023-04-26T00:00:00Z</t>
  </si>
  <si>
    <t>2023-02-03</t>
  </si>
  <si>
    <t>28-07-2023</t>
  </si>
  <si>
    <t>August 29 2023</t>
  </si>
  <si>
    <t>2023-05-11</t>
  </si>
  <si>
    <t>March 20 2023</t>
  </si>
  <si>
    <t>29-05-2023</t>
  </si>
  <si>
    <t>2023-05-15</t>
  </si>
  <si>
    <t>07/03/2023</t>
  </si>
  <si>
    <t>March 09 2023</t>
  </si>
  <si>
    <t>2023-07-29</t>
  </si>
  <si>
    <t>2023-12-15</t>
  </si>
  <si>
    <t>Total spend by country</t>
  </si>
  <si>
    <t>1. United states has the highest spend</t>
  </si>
  <si>
    <t>Sum of Total Spend New</t>
  </si>
  <si>
    <t>2. The Lowest country is France with a total spending of  8958.56</t>
  </si>
  <si>
    <t>which is 41495.85 less than the highest spending country, United states</t>
  </si>
  <si>
    <t>3. The top country represent 17% of total spend</t>
  </si>
  <si>
    <t>Grand Total</t>
  </si>
  <si>
    <t>Line Chart : New customer sign ups over time</t>
  </si>
  <si>
    <t>1. The customer sign up numbers differ from month to month. Some months it goes up and some months it goes down.</t>
  </si>
  <si>
    <t>Count of Signup_Date</t>
  </si>
  <si>
    <t>Its flat over time because even though it goes up and down the differences arent too much.</t>
  </si>
  <si>
    <t>Jan</t>
  </si>
  <si>
    <t>2. Theres a mid year slowdown. The lowest dips happen every third month.</t>
  </si>
  <si>
    <t>Feb</t>
  </si>
  <si>
    <t>3. April has the highest number of new sign ups.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</si>
  <si>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</si>
  <si>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</si>
  <si>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</si>
  <si>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</si>
  <si>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</si>
  <si>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</si>
  <si>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</si>
  <si>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</si>
  <si>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</si>
  <si>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</si>
  <si>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Pie Chart: Customer Distribution by Country</t>
  </si>
  <si>
    <t>Sum of Customer_ID</t>
  </si>
  <si>
    <t>1. United states makes up the largest share of customers</t>
  </si>
  <si>
    <t xml:space="preserve">2. The top country represents 17% </t>
  </si>
  <si>
    <t>3. The customer base is heavily concentrated. United states  Account for a large share of the customer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</si>
</sst>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164" fontId="1" fillId="5" borderId="1" xfId="0" applyNumberFormat="1" applyFont="1" applyFill="1" applyBorder="1" applyAlignment="1">
      <alignment horizontal="center" vertical="top"/>
    </xf>
    <xf numFmtId="164" fontId="0" fillId="5" borderId="0" xfId="0" applyNumberFormat="1" applyFill="1"/>
    <xf numFmtId="0" fontId="2" fillId="5" borderId="0" xfId="0" applyFont="1" applyFill="1"/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[Customer_data_cleaned+analysis.xlsx]Analysis!PivotTable2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Customer Spend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Analysis!$A$4:$A$19</c:f>
              <c:strCache>
                <c:ptCount val="15"/>
                <c:pt idx="0">
                  <c:v>Brazil</c:v>
                </c:pt>
                <c:pt idx="1">
                  <c:v>China</c:v>
                </c:pt>
                <c:pt idx="2">
                  <c:v>Egypt</c:v>
                </c:pt>
                <c:pt idx="3">
                  <c:v>France</c:v>
                </c:pt>
                <c:pt idx="4">
                  <c:v>Germany</c:v>
                </c:pt>
                <c:pt idx="5">
                  <c:v>Ireland</c:v>
                </c:pt>
                <c:pt idx="6">
                  <c:v>Italy</c:v>
                </c:pt>
                <c:pt idx="7">
                  <c:v>Japan</c:v>
                </c:pt>
                <c:pt idx="8">
                  <c:v>Mexico</c:v>
                </c:pt>
                <c:pt idx="9">
                  <c:v>South Korea</c:v>
                </c:pt>
                <c:pt idx="10">
                  <c:v>Spain</c:v>
                </c:pt>
                <c:pt idx="11">
                  <c:v>Sweden</c:v>
                </c:pt>
                <c:pt idx="12">
                  <c:v>UAE</c:v>
                </c:pt>
                <c:pt idx="13">
                  <c:v>United Kingdom</c:v>
                </c:pt>
                <c:pt idx="14">
                  <c:v>United States</c:v>
                </c:pt>
              </c:strCache>
            </c:strRef>
          </c:cat>
          <c:val>
            <c:numRef>
              <c:f>Analysis!$B$4:$B$19</c:f>
              <c:numCache>
                <c:formatCode>General</c:formatCode>
                <c:ptCount val="15"/>
                <c:pt idx="0">
                  <c:v>12955.36</c:v>
                </c:pt>
                <c:pt idx="1">
                  <c:v>21161.269999999997</c:v>
                </c:pt>
                <c:pt idx="2">
                  <c:v>18275.61</c:v>
                </c:pt>
                <c:pt idx="3">
                  <c:v>8958.56</c:v>
                </c:pt>
                <c:pt idx="4">
                  <c:v>13367.859999999999</c:v>
                </c:pt>
                <c:pt idx="5">
                  <c:v>14227.489999999998</c:v>
                </c:pt>
                <c:pt idx="6">
                  <c:v>15961.980000000001</c:v>
                </c:pt>
                <c:pt idx="7">
                  <c:v>10659.149999999998</c:v>
                </c:pt>
                <c:pt idx="8">
                  <c:v>17216.780000000002</c:v>
                </c:pt>
                <c:pt idx="9">
                  <c:v>17665.050000000003</c:v>
                </c:pt>
                <c:pt idx="10">
                  <c:v>11657.34</c:v>
                </c:pt>
                <c:pt idx="11">
                  <c:v>14231.71</c:v>
                </c:pt>
                <c:pt idx="12">
                  <c:v>22685.98</c:v>
                </c:pt>
                <c:pt idx="13">
                  <c:v>41446.380000000005</c:v>
                </c:pt>
                <c:pt idx="14">
                  <c:v>50454.41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3-49B7-92EA-83F3FA78B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5195016"/>
        <c:axId val="865197064"/>
      </c:barChart>
      <c:catAx>
        <c:axId val="8651950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197064"/>
        <c:crosses val="autoZero"/>
        <c:auto val="1"/>
        <c:lblAlgn val="ctr"/>
        <c:lblOffset val="100"/>
        <c:noMultiLvlLbl val="0"/>
      </c:catAx>
      <c:valAx>
        <c:axId val="86519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Spend Money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19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[Customer_data_cleaned+analysis.xlsx]Analysis!PivotTable3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New Customer Sign 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Analysis!$A$24:$A$36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Analysis!$B$24:$B$36</c:f>
              <c:numCache>
                <c:formatCode>General</c:formatCode>
                <c:ptCount val="12"/>
                <c:pt idx="0">
                  <c:v>64</c:v>
                </c:pt>
                <c:pt idx="1">
                  <c:v>75</c:v>
                </c:pt>
                <c:pt idx="2">
                  <c:v>71</c:v>
                </c:pt>
                <c:pt idx="3">
                  <c:v>85</c:v>
                </c:pt>
                <c:pt idx="4">
                  <c:v>77</c:v>
                </c:pt>
                <c:pt idx="5">
                  <c:v>56</c:v>
                </c:pt>
                <c:pt idx="6">
                  <c:v>69</c:v>
                </c:pt>
                <c:pt idx="7">
                  <c:v>79</c:v>
                </c:pt>
                <c:pt idx="8">
                  <c:v>56</c:v>
                </c:pt>
                <c:pt idx="9">
                  <c:v>66</c:v>
                </c:pt>
                <c:pt idx="10">
                  <c:v>68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9-4964-9914-4D40C747C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761287"/>
        <c:axId val="2138178568"/>
      </c:lineChart>
      <c:catAx>
        <c:axId val="881761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178568"/>
        <c:crosses val="autoZero"/>
        <c:auto val="1"/>
        <c:lblAlgn val="ctr"/>
        <c:lblOffset val="100"/>
        <c:noMultiLvlLbl val="0"/>
      </c:catAx>
      <c:valAx>
        <c:axId val="213817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761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[Customer_data_cleaned+analysis.xlsx]Analysis!PivotTable4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6C-4252-880D-797CF897C3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6C-4252-880D-797CF897C3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6C-4252-880D-797CF897C3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6C-4252-880D-797CF897C3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6C-4252-880D-797CF897C3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6C-4252-880D-797CF897C3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6C-4252-880D-797CF897C3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06C-4252-880D-797CF897C3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06C-4252-880D-797CF897C3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06C-4252-880D-797CF897C3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06C-4252-880D-797CF897C3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06C-4252-880D-797CF897C32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06C-4252-880D-797CF897C32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06C-4252-880D-797CF897C32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06C-4252-880D-797CF897C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Analysis!$A$42:$A$57</c:f>
              <c:strCache>
                <c:ptCount val="15"/>
                <c:pt idx="0">
                  <c:v>Brazil</c:v>
                </c:pt>
                <c:pt idx="1">
                  <c:v>China</c:v>
                </c:pt>
                <c:pt idx="2">
                  <c:v>Egypt</c:v>
                </c:pt>
                <c:pt idx="3">
                  <c:v>France</c:v>
                </c:pt>
                <c:pt idx="4">
                  <c:v>Germany</c:v>
                </c:pt>
                <c:pt idx="5">
                  <c:v>Ireland</c:v>
                </c:pt>
                <c:pt idx="6">
                  <c:v>Italy</c:v>
                </c:pt>
                <c:pt idx="7">
                  <c:v>Japan</c:v>
                </c:pt>
                <c:pt idx="8">
                  <c:v>Mexico</c:v>
                </c:pt>
                <c:pt idx="9">
                  <c:v>South Korea</c:v>
                </c:pt>
                <c:pt idx="10">
                  <c:v>Spain</c:v>
                </c:pt>
                <c:pt idx="11">
                  <c:v>Sweden</c:v>
                </c:pt>
                <c:pt idx="12">
                  <c:v>UAE</c:v>
                </c:pt>
                <c:pt idx="13">
                  <c:v>United Kingdom</c:v>
                </c:pt>
                <c:pt idx="14">
                  <c:v>United States</c:v>
                </c:pt>
              </c:strCache>
            </c:strRef>
          </c:cat>
          <c:val>
            <c:numRef>
              <c:f>Analysis!$B$42:$B$57</c:f>
              <c:numCache>
                <c:formatCode>General</c:formatCode>
                <c:ptCount val="15"/>
                <c:pt idx="0">
                  <c:v>77061</c:v>
                </c:pt>
                <c:pt idx="1">
                  <c:v>100417</c:v>
                </c:pt>
                <c:pt idx="2">
                  <c:v>91612</c:v>
                </c:pt>
                <c:pt idx="3">
                  <c:v>52068</c:v>
                </c:pt>
                <c:pt idx="4">
                  <c:v>77781</c:v>
                </c:pt>
                <c:pt idx="5">
                  <c:v>69999</c:v>
                </c:pt>
                <c:pt idx="6">
                  <c:v>68261</c:v>
                </c:pt>
                <c:pt idx="7">
                  <c:v>57776</c:v>
                </c:pt>
                <c:pt idx="8">
                  <c:v>77935</c:v>
                </c:pt>
                <c:pt idx="9">
                  <c:v>73338</c:v>
                </c:pt>
                <c:pt idx="10">
                  <c:v>68913</c:v>
                </c:pt>
                <c:pt idx="11">
                  <c:v>61465</c:v>
                </c:pt>
                <c:pt idx="12">
                  <c:v>90711</c:v>
                </c:pt>
                <c:pt idx="13">
                  <c:v>150831</c:v>
                </c:pt>
                <c:pt idx="14">
                  <c:v>224287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1-4B17-B570-C8C7613280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2</xdr:row>
      <xdr:rowOff>9525</xdr:rowOff>
    </xdr:from>
    <xdr:to>
      <xdr:col>8</xdr:col>
      <xdr:colOff>533400</xdr:colOff>
      <xdr:row>16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267C1B-FE6A-C00A-C96D-532A70083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352425</xdr:colOff>
      <xdr:row>21</xdr:row>
      <xdr:rowOff>171450</xdr:rowOff>
    </xdr:from>
    <xdr:to>
      <xdr:col>8</xdr:col>
      <xdr:colOff>466725</xdr:colOff>
      <xdr:row>36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C8E63-55F8-F2F4-15FB-4CC1ACE0B042}"/>
            </a:ext>
            <a:ext uri="{147F2762-F138-4A5C-976F-8EAC2B608ADB}">
              <a16:predDERef xmlns:a16="http://schemas.microsoft.com/office/drawing/2014/main" pred="{C1267C1B-FE6A-C00A-C96D-532A70083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295275</xdr:colOff>
      <xdr:row>40</xdr:row>
      <xdr:rowOff>76200</xdr:rowOff>
    </xdr:from>
    <xdr:to>
      <xdr:col>8</xdr:col>
      <xdr:colOff>571500</xdr:colOff>
      <xdr:row>54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C6CDA6-1963-B5E2-F4E5-25213B86C4D8}"/>
            </a:ext>
            <a:ext uri="{147F2762-F138-4A5C-976F-8EAC2B608ADB}">
              <a16:predDERef xmlns:a16="http://schemas.microsoft.com/office/drawing/2014/main" pred="{911C8E63-55F8-F2F4-15FB-4CC1ACE0B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7.630448032411" createdVersion="8" refreshedVersion="8" minRefreshableVersion="3" recordCount="838" xr:uid="{2A1E62F2-7005-444A-863E-572F69A2EB82}">
  <cacheSource type="worksheet">
    <worksheetSource ref="A1:Q839" sheet="Sheet1"/>
  </cacheSource>
  <cacheFields count="17">
    <cacheField name="Customer_ID" numFmtId="0">
      <sharedItems containsSemiMixedTypes="0" containsString="0" containsNumber="1" containsInteger="1" minValue="1001" maxValue="2199"/>
    </cacheField>
    <cacheField name="Name" numFmtId="0">
      <sharedItems/>
    </cacheField>
    <cacheField name="Name Helper" numFmtId="0">
      <sharedItems/>
    </cacheField>
    <cacheField name="Name Helper 2" numFmtId="0">
      <sharedItems/>
    </cacheField>
    <cacheField name="Age" numFmtId="0">
      <sharedItems containsString="0" containsBlank="1" containsNumber="1" containsInteger="1" minValue="18" maxValue="65"/>
    </cacheField>
    <cacheField name="Age new" numFmtId="0">
      <sharedItems containsSemiMixedTypes="0" containsString="0" containsNumber="1" containsInteger="1" minValue="18" maxValue="65"/>
    </cacheField>
    <cacheField name="Country" numFmtId="0">
      <sharedItems count="15">
        <s v="United Kingdom"/>
        <s v="Germany"/>
        <s v="Japan"/>
        <s v="United States"/>
        <s v="Spain"/>
        <s v="UAE"/>
        <s v="France"/>
        <s v="Brazil"/>
        <s v="Egypt"/>
        <s v="Ireland"/>
        <s v="Sweden"/>
        <s v="Mexico"/>
        <s v="South Korea"/>
        <s v="China"/>
        <s v="Italy"/>
      </sharedItems>
    </cacheField>
    <cacheField name="Country Helper" numFmtId="0">
      <sharedItems/>
    </cacheField>
    <cacheField name="Signup_Date" numFmtId="0">
      <sharedItems/>
    </cacheField>
    <cacheField name="Signup Date new" numFmtId="0">
      <sharedItems/>
    </cacheField>
    <cacheField name="Month" numFmtId="0">
      <sharedItems count="12">
        <s v="Dec"/>
        <s v="Nov"/>
        <s v="Feb"/>
        <s v="Oct"/>
        <s v="Apr"/>
        <s v="Sep"/>
        <s v="Mar"/>
        <s v="Jan"/>
        <s v="Jul"/>
        <s v="May"/>
        <s v="Jun"/>
        <s v="Aug"/>
      </sharedItems>
    </cacheField>
    <cacheField name="Last_Login_Timestamp" numFmtId="0">
      <sharedItems containsSemiMixedTypes="0" containsString="0" containsNumber="1" containsInteger="1" minValue="1672546680" maxValue="1704053570"/>
    </cacheField>
    <cacheField name="Last Login Timestamp New" numFmtId="164">
      <sharedItems containsSemiMixedTypes="0" containsNonDate="0" containsDate="1" containsString="0" minDate="2023-01-01T04:18:00" maxDate="2023-12-31T20:12:50"/>
    </cacheField>
    <cacheField name="Total_Spend" numFmtId="0">
      <sharedItems containsString="0" containsBlank="1" containsNumber="1" minValue="12.9" maxValue="1491.56"/>
    </cacheField>
    <cacheField name="Total Spend New" numFmtId="0">
      <sharedItems containsSemiMixedTypes="0" containsString="0" containsNumber="1" minValue="0" maxValue="1491.56"/>
    </cacheField>
    <cacheField name="Notes" numFmtId="0">
      <sharedItems/>
    </cacheField>
    <cacheField name="Notes New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8">
  <r>
    <n v="1229"/>
    <s v="John Smith"/>
    <s v="John Smith"/>
    <s v="John Smith"/>
    <n v="33"/>
    <n v="33"/>
    <x v="0"/>
    <s v="United Kingdom"/>
    <s v="2023-12-13T00:00:00Z"/>
    <s v="2023-12-13"/>
    <x v="0"/>
    <n v="1675441183"/>
    <d v="2023-02-03T16:19:43"/>
    <n v="889.83"/>
    <n v="889.83"/>
    <s v="Great customer $$$"/>
    <s v="Great customer "/>
  </r>
  <r>
    <n v="1192"/>
    <s v=" David Brown "/>
    <s v="David Brown"/>
    <s v=" David Brown "/>
    <n v="19"/>
    <n v="19"/>
    <x v="1"/>
    <s v="Germany"/>
    <s v="2023-11-29T00:00:00Z"/>
    <s v="2023-11-29"/>
    <x v="1"/>
    <n v="1686600749"/>
    <d v="2023-06-12T20:12:29"/>
    <m/>
    <n v="0"/>
    <s v="Great customer $$$"/>
    <s v="Great customer "/>
  </r>
  <r>
    <n v="1327"/>
    <s v="Renée Dupont"/>
    <s v="Renée Dupont"/>
    <s v="Renée Dupont"/>
    <n v="35"/>
    <n v="35"/>
    <x v="2"/>
    <s v="Japan"/>
    <s v="2023-02-22"/>
    <s v="2023-02-22"/>
    <x v="2"/>
    <n v="1685272244"/>
    <d v="2023-05-28T11:10:44"/>
    <m/>
    <n v="0"/>
    <s v="Holiday signup %"/>
    <s v="Holiday signup "/>
  </r>
  <r>
    <n v="1542"/>
    <s v="Maria Lopez"/>
    <s v="Maria Lopez"/>
    <s v="Maria Lopez"/>
    <m/>
    <n v="43"/>
    <x v="3"/>
    <s v="United States"/>
    <s v="10-10-2023"/>
    <s v="2023-10-10"/>
    <x v="3"/>
    <n v="1700354202"/>
    <d v="2023-11-19T00:36:42"/>
    <m/>
    <n v="0"/>
    <s v="Holiday signup %"/>
    <s v="Holiday signup "/>
  </r>
  <r>
    <n v="1394"/>
    <s v=" Renée Dupont "/>
    <s v="Renée Dupont"/>
    <s v=" Renée Dupont "/>
    <m/>
    <n v="43"/>
    <x v="3"/>
    <s v="United States"/>
    <s v="2023-04-30"/>
    <s v="2023-04-30"/>
    <x v="4"/>
    <n v="1685278919"/>
    <d v="2023-05-28T13:01:59"/>
    <m/>
    <n v="0"/>
    <s v="Frequent buyer ñ"/>
    <s v="Frequent buyer n"/>
  </r>
  <r>
    <n v="1759"/>
    <s v=" Olivia Wilson "/>
    <s v="Olivia Wilson"/>
    <s v=" Olivia Wilson "/>
    <n v="62"/>
    <n v="62"/>
    <x v="3"/>
    <s v="United States"/>
    <s v="11/08/2023"/>
    <s v="2023-11-08"/>
    <x v="1"/>
    <n v="1690446760"/>
    <d v="2023-07-27T08:32:40"/>
    <n v="1096.4000000000001"/>
    <n v="1096.4000000000001"/>
    <s v="Regular shopper"/>
    <s v="Regular shopper"/>
  </r>
  <r>
    <n v="1778"/>
    <s v="Akira Tanaka"/>
    <s v="Akira Tanaka"/>
    <s v="Akira Tanaka"/>
    <n v="62"/>
    <n v="62"/>
    <x v="4"/>
    <s v="Spain"/>
    <s v="17-12-2023"/>
    <s v="2023-12-17"/>
    <x v="0"/>
    <n v="1700805417"/>
    <d v="2023-11-24T05:56:57"/>
    <n v="1154.79"/>
    <n v="1154.79"/>
    <s v="VIP client $$$"/>
    <s v="VIP client "/>
  </r>
  <r>
    <n v="1066"/>
    <s v="Lucas Silva"/>
    <s v="Lucas Silva"/>
    <s v="Lucas Silva"/>
    <n v="31"/>
    <n v="31"/>
    <x v="2"/>
    <s v="Japan"/>
    <s v="April 19 2023"/>
    <s v="2023-04-19"/>
    <x v="4"/>
    <n v="1685799203"/>
    <d v="2023-06-03T13:33:23"/>
    <m/>
    <n v="0"/>
    <s v="Frequent buyer ñ"/>
    <s v="Frequent buyer n"/>
  </r>
  <r>
    <n v="1543"/>
    <s v=" Carlos García "/>
    <s v="Carlos García"/>
    <s v=" Carlos García "/>
    <m/>
    <n v="43"/>
    <x v="5"/>
    <s v="UAE"/>
    <s v="October 26 2023"/>
    <s v="2023-10-26"/>
    <x v="3"/>
    <n v="1684670585"/>
    <d v="2023-05-21T12:03:05"/>
    <n v="336.79"/>
    <n v="336.79"/>
    <s v="Corporate account"/>
    <s v="Corporate account"/>
  </r>
  <r>
    <n v="2011"/>
    <s v="Li Wei"/>
    <s v="Li Wei"/>
    <s v="Li Wei"/>
    <n v="27"/>
    <n v="27"/>
    <x v="6"/>
    <s v="France"/>
    <s v="December 15 2023"/>
    <s v="2023-12-15"/>
    <x v="0"/>
    <n v="1692536166"/>
    <d v="2023-08-20T12:56:06"/>
    <m/>
    <n v="0"/>
    <s v="Holiday signup %"/>
    <s v="Holiday signup "/>
  </r>
  <r>
    <n v="1959"/>
    <s v=" Ahmed Hassan "/>
    <s v="Ahmed Hassan"/>
    <s v=" Ahmed Hassan "/>
    <n v="18"/>
    <n v="18"/>
    <x v="0"/>
    <s v="United Kingdom"/>
    <s v="2023-12-16T00:00:00Z"/>
    <s v="2023-12-16"/>
    <x v="0"/>
    <n v="1697719278"/>
    <d v="2023-10-19T12:41:18"/>
    <m/>
    <n v="0"/>
    <s v="Prefers email %"/>
    <s v="Prefers email "/>
  </r>
  <r>
    <n v="1602"/>
    <s v=" Sofia Rossi "/>
    <s v="Sofia Rossi"/>
    <s v=" Sofia Rossi "/>
    <n v="64"/>
    <n v="64"/>
    <x v="7"/>
    <s v="Brazil"/>
    <s v="09/14/2023"/>
    <s v="2023-09-14"/>
    <x v="5"/>
    <n v="1689558970"/>
    <d v="2023-07-17T01:56:10"/>
    <m/>
    <n v="0"/>
    <s v="Corporate account"/>
    <s v="Corporate account"/>
  </r>
  <r>
    <n v="1408"/>
    <s v="Carlos García"/>
    <s v="Carlos García"/>
    <s v="Carlos García"/>
    <n v="52"/>
    <n v="52"/>
    <x v="3"/>
    <s v="United States"/>
    <s v="03-11-2023"/>
    <s v="2023-03-11"/>
    <x v="6"/>
    <n v="1688918887"/>
    <d v="2023-07-09T16:08:07"/>
    <m/>
    <n v="0"/>
    <s v="Student account"/>
    <s v="Student account"/>
  </r>
  <r>
    <n v="1491"/>
    <s v=" Maria Lopez "/>
    <s v="Maria Lopez"/>
    <s v=" Maria Lopez "/>
    <n v="54"/>
    <n v="54"/>
    <x v="8"/>
    <s v="Egypt"/>
    <s v="2023-02-05T00:00:00Z"/>
    <s v="2023-02-05"/>
    <x v="2"/>
    <n v="1698221139"/>
    <d v="2023-10-25T08:05:39"/>
    <m/>
    <n v="0"/>
    <s v="Corporate account"/>
    <s v="Corporate account"/>
  </r>
  <r>
    <n v="1339"/>
    <s v="Akira Tanaka"/>
    <s v="Akira Tanaka"/>
    <s v="Akira Tanaka"/>
    <n v="56"/>
    <n v="56"/>
    <x v="9"/>
    <s v="Ireland"/>
    <s v="12/20/2023"/>
    <s v="2023-12-20"/>
    <x v="0"/>
    <n v="1696446597"/>
    <d v="2023-10-04T19:09:57"/>
    <m/>
    <n v="0"/>
    <s v="Regular shopper"/>
    <s v="Regular shopper"/>
  </r>
  <r>
    <n v="2060"/>
    <s v=" Ethan Clark "/>
    <s v="Ethan Clark"/>
    <s v=" Ethan Clark "/>
    <m/>
    <n v="43"/>
    <x v="3"/>
    <s v="United States"/>
    <s v="2023-10-29T00:00:00Z"/>
    <s v="2023-10-29"/>
    <x v="3"/>
    <n v="1680245369"/>
    <d v="2023-03-31T06:49:29"/>
    <n v="886.78"/>
    <n v="886.78"/>
    <s v="Prefers email %"/>
    <s v="Prefers email "/>
  </r>
  <r>
    <n v="1121"/>
    <s v=" Emily Davis "/>
    <s v="Emily Davis"/>
    <s v=" Emily Davis "/>
    <n v="20"/>
    <n v="20"/>
    <x v="10"/>
    <s v="Sweden"/>
    <s v="02-05-2023"/>
    <s v="2023-02-05"/>
    <x v="2"/>
    <n v="1694971169"/>
    <d v="2023-09-17T17:19:29"/>
    <n v="733.27"/>
    <n v="733.27"/>
    <s v="Holiday signup %"/>
    <s v="Holiday signup "/>
  </r>
  <r>
    <n v="2181"/>
    <s v=" Isabella Martinez "/>
    <s v="Isabella Martinez"/>
    <s v=" Isabella Martinez "/>
    <n v="48"/>
    <n v="48"/>
    <x v="0"/>
    <s v="United Kingdom"/>
    <s v="February 19 2023"/>
    <s v="2023-02-19"/>
    <x v="2"/>
    <n v="1684412253"/>
    <d v="2023-05-18T12:17:33"/>
    <m/>
    <n v="0"/>
    <s v="Great customer $$$"/>
    <s v="Great customer "/>
  </r>
  <r>
    <n v="1202"/>
    <s v="Maria Lopez"/>
    <s v="Maria Lopez"/>
    <s v="Maria Lopez"/>
    <n v="39"/>
    <n v="39"/>
    <x v="1"/>
    <s v="Germany"/>
    <s v="2023-04-08T00:00:00Z"/>
    <s v="2023-04-08"/>
    <x v="4"/>
    <n v="1687576972"/>
    <d v="2023-06-24T03:22:52"/>
    <n v="218.87"/>
    <n v="218.87"/>
    <s v="Student account"/>
    <s v="Student account"/>
  </r>
  <r>
    <n v="1948"/>
    <s v="Emily Davis"/>
    <s v="Emily Davis"/>
    <s v="Emily Davis"/>
    <n v="46"/>
    <n v="46"/>
    <x v="0"/>
    <s v="United Kingdom"/>
    <s v="2023-01-26T00:00:00Z"/>
    <s v="2023-01-26"/>
    <x v="7"/>
    <n v="1700576430"/>
    <d v="2023-11-21T14:20:30"/>
    <n v="31.99"/>
    <n v="31.99"/>
    <s v="VIP client $$$"/>
    <s v="VIP client "/>
  </r>
  <r>
    <n v="1341"/>
    <s v="Sofia Rossi"/>
    <s v="Sofia Rossi"/>
    <s v="Sofia Rossi"/>
    <n v="31"/>
    <n v="31"/>
    <x v="6"/>
    <s v="France"/>
    <s v="2023-07-14"/>
    <s v="2023-07-14"/>
    <x v="8"/>
    <n v="1685624380"/>
    <d v="2023-06-01T12:59:40"/>
    <m/>
    <n v="0"/>
    <s v="Student account"/>
    <s v="Student account"/>
  </r>
  <r>
    <n v="1867"/>
    <s v="Renée Dupont"/>
    <s v="Renée Dupont"/>
    <s v="Renée Dupont"/>
    <n v="60"/>
    <n v="60"/>
    <x v="8"/>
    <s v="Egypt"/>
    <s v="03/21/2023"/>
    <s v="2023-03-21"/>
    <x v="6"/>
    <n v="1682479862"/>
    <d v="2023-04-26T03:31:02"/>
    <n v="334.37"/>
    <n v="334.37"/>
    <s v="Holiday signup %"/>
    <s v="Holiday signup "/>
  </r>
  <r>
    <n v="2111"/>
    <s v="Maria Lopez"/>
    <s v="Maria Lopez"/>
    <s v="Maria Lopez"/>
    <n v="21"/>
    <n v="21"/>
    <x v="8"/>
    <s v="Egypt"/>
    <s v="2023-09-15T00:00:00Z"/>
    <s v="2023-09-15"/>
    <x v="5"/>
    <n v="1677806565"/>
    <d v="2023-03-03T01:22:45"/>
    <n v="94.75"/>
    <n v="94.75"/>
    <s v="Frequent buyer ñ"/>
    <s v="Frequent buyer n"/>
  </r>
  <r>
    <n v="1141"/>
    <s v=" Mia Thompson "/>
    <s v="Mia Thompson"/>
    <s v=" Mia Thompson "/>
    <n v="33"/>
    <n v="33"/>
    <x v="4"/>
    <s v="Spain"/>
    <s v="2023-10-24T00:00:00Z"/>
    <s v="2023-10-24"/>
    <x v="3"/>
    <n v="1673857508"/>
    <d v="2023-01-16T08:25:08"/>
    <m/>
    <n v="0"/>
    <s v="Holiday signup %"/>
    <s v="Holiday signup "/>
  </r>
  <r>
    <n v="2158"/>
    <s v="Ahmed Hassan"/>
    <s v="Ahmed Hassan"/>
    <s v="Ahmed Hassan"/>
    <n v="31"/>
    <n v="31"/>
    <x v="2"/>
    <s v="Japan"/>
    <s v="03-05-2023"/>
    <s v="2023-03-05"/>
    <x v="6"/>
    <n v="1685804369"/>
    <d v="2023-06-03T14:59:29"/>
    <m/>
    <n v="0"/>
    <s v="Regular shopper"/>
    <s v="Regular shopper"/>
  </r>
  <r>
    <n v="1648"/>
    <s v="Björn Larsson"/>
    <s v="Björn Larsson"/>
    <s v="Björn Larsson"/>
    <n v="47"/>
    <n v="47"/>
    <x v="0"/>
    <s v="United Kingdom"/>
    <s v="2023-02-07T00:00:00Z"/>
    <s v="2023-02-07"/>
    <x v="2"/>
    <n v="1679676271"/>
    <d v="2023-03-24T16:44:31"/>
    <n v="763.77"/>
    <n v="763.77"/>
    <s v="Newsletter subscriber %"/>
    <s v="Newsletter subscriber "/>
  </r>
  <r>
    <n v="1276"/>
    <s v=" Akira Tanaka "/>
    <s v="Akira Tanaka"/>
    <s v=" Akira Tanaka "/>
    <n v="65"/>
    <n v="65"/>
    <x v="0"/>
    <s v="United Kingdom"/>
    <s v="20-05-2023"/>
    <s v="2023-05-20"/>
    <x v="9"/>
    <n v="1692818721"/>
    <d v="2023-08-23T19:25:21"/>
    <m/>
    <n v="0"/>
    <s v="VIP client $$$"/>
    <s v="VIP client "/>
  </r>
  <r>
    <n v="1541"/>
    <s v="Ahmed Hassan"/>
    <s v="Ahmed Hassan"/>
    <s v="Ahmed Hassan"/>
    <n v="23"/>
    <n v="23"/>
    <x v="5"/>
    <s v="UAE"/>
    <s v="2023-05-22"/>
    <s v="2023-05-22"/>
    <x v="9"/>
    <n v="1672642973"/>
    <d v="2023-01-02T07:02:53"/>
    <n v="507"/>
    <n v="507"/>
    <s v="Student account"/>
    <s v="Student account"/>
  </r>
  <r>
    <n v="1331"/>
    <s v="André Santos"/>
    <s v="André Santos"/>
    <s v="André Santos"/>
    <n v="45"/>
    <n v="45"/>
    <x v="3"/>
    <s v="United States"/>
    <s v="2023-02-27"/>
    <s v="2023-02-27"/>
    <x v="2"/>
    <n v="1702156133"/>
    <d v="2023-12-09T21:08:53"/>
    <n v="1039.6199999999999"/>
    <n v="1039.6199999999999"/>
    <s v="Corporate account"/>
    <s v="Corporate account"/>
  </r>
  <r>
    <n v="1074"/>
    <s v="Olivia Wilson"/>
    <s v="Olivia Wilson"/>
    <s v="Olivia Wilson"/>
    <n v="27"/>
    <n v="27"/>
    <x v="3"/>
    <s v="United States"/>
    <s v="07-06-2023"/>
    <s v="2023-07-06"/>
    <x v="8"/>
    <n v="1702688813"/>
    <d v="2023-12-16T01:06:53"/>
    <n v="1400.3"/>
    <n v="1400.3"/>
    <s v="Newsletter subscriber %"/>
    <s v="Newsletter subscriber "/>
  </r>
  <r>
    <n v="1431"/>
    <s v=" Zoë Kravitz "/>
    <s v="Zoë Kravitz"/>
    <s v=" Zoë Kravitz "/>
    <n v="40"/>
    <n v="40"/>
    <x v="5"/>
    <s v="UAE"/>
    <s v="11/14/2023"/>
    <s v="2023-11-14"/>
    <x v="1"/>
    <n v="1703587479"/>
    <d v="2023-12-26T10:44:39"/>
    <n v="1395.52"/>
    <n v="1395.52"/>
    <s v="Frequent buyer ñ"/>
    <s v="Frequent buyer n"/>
  </r>
  <r>
    <n v="1845"/>
    <s v=" John Smith "/>
    <s v="John Smith"/>
    <s v=" John Smith "/>
    <n v="44"/>
    <n v="44"/>
    <x v="4"/>
    <s v="Spain"/>
    <s v="05/17/2023"/>
    <s v="2023-05-17"/>
    <x v="9"/>
    <n v="1698943904"/>
    <d v="2023-11-02T16:51:44"/>
    <m/>
    <n v="0"/>
    <s v="Great customer $$$"/>
    <s v="Great customer "/>
  </r>
  <r>
    <n v="1964"/>
    <s v=" Emily Davis "/>
    <s v="Emily Davis"/>
    <s v=" Emily Davis "/>
    <m/>
    <n v="43"/>
    <x v="4"/>
    <s v="Spain"/>
    <s v="2023-04-25"/>
    <s v="2023-04-25"/>
    <x v="4"/>
    <n v="1694671038"/>
    <d v="2023-09-14T05:57:18"/>
    <m/>
    <n v="0"/>
    <s v="Student account"/>
    <s v="Student account"/>
  </r>
  <r>
    <n v="1143"/>
    <s v=" Björn Larsson "/>
    <s v="Björn Larsson"/>
    <s v=" Björn Larsson "/>
    <m/>
    <n v="43"/>
    <x v="9"/>
    <s v="Ireland"/>
    <s v="2023-06-19"/>
    <s v="2023-06-19"/>
    <x v="10"/>
    <n v="1676394226"/>
    <d v="2023-02-14T17:03:46"/>
    <m/>
    <n v="0"/>
    <s v="Frequent buyer ñ"/>
    <s v="Frequent buyer n"/>
  </r>
  <r>
    <n v="2190"/>
    <s v=" Akira Tanaka "/>
    <s v="Akira Tanaka"/>
    <s v=" Akira Tanaka "/>
    <m/>
    <n v="43"/>
    <x v="2"/>
    <s v="Japan"/>
    <s v="2023-08-12T00:00:00Z"/>
    <s v="2023-08-12"/>
    <x v="11"/>
    <n v="1689684510"/>
    <d v="2023-07-18T12:48:30"/>
    <n v="182.31"/>
    <n v="182.31"/>
    <s v="Student account"/>
    <s v="Student account"/>
  </r>
  <r>
    <n v="1091"/>
    <s v="Renée Dupont"/>
    <s v="Renée Dupont"/>
    <s v="Renée Dupont"/>
    <n v="52"/>
    <n v="52"/>
    <x v="1"/>
    <s v="Germany"/>
    <s v="July 06 2023"/>
    <s v="2023-07-06"/>
    <x v="8"/>
    <n v="1674871931"/>
    <d v="2023-01-28T02:12:11"/>
    <m/>
    <n v="0"/>
    <s v="Holiday signup %"/>
    <s v="Holiday signup "/>
  </r>
  <r>
    <n v="1643"/>
    <s v="Zoë Kravitz"/>
    <s v="Zoë Kravitz"/>
    <s v="Zoë Kravitz"/>
    <n v="37"/>
    <n v="37"/>
    <x v="11"/>
    <s v="Mexico"/>
    <s v="December 08 2023"/>
    <s v="2023-12-08"/>
    <x v="0"/>
    <n v="1683468882"/>
    <d v="2023-05-07T14:14:42"/>
    <m/>
    <n v="0"/>
    <s v="Corporate account"/>
    <s v="Corporate account"/>
  </r>
  <r>
    <n v="1261"/>
    <s v="David Brown"/>
    <s v="David Brown"/>
    <s v="David Brown"/>
    <n v="61"/>
    <n v="61"/>
    <x v="6"/>
    <s v="France"/>
    <s v="2023-11-12T00:00:00Z"/>
    <s v="2023-11-12"/>
    <x v="1"/>
    <n v="1682622202"/>
    <d v="2023-04-27T19:03:22"/>
    <n v="615.04999999999995"/>
    <n v="615.04999999999995"/>
    <s v="Student account"/>
    <s v="Student account"/>
  </r>
  <r>
    <n v="1588"/>
    <s v="David Brown"/>
    <s v="David Brown"/>
    <s v="David Brown"/>
    <n v="56"/>
    <n v="56"/>
    <x v="2"/>
    <s v="Japan"/>
    <s v="August 27 2023"/>
    <s v="2023-08-27"/>
    <x v="11"/>
    <n v="1687360420"/>
    <d v="2023-06-21T15:13:40"/>
    <m/>
    <n v="0"/>
    <s v="Frequent buyer ñ"/>
    <s v="Frequent buyer n"/>
  </r>
  <r>
    <n v="1174"/>
    <s v="Fatima Ali"/>
    <s v="Fatima Ali"/>
    <s v="Fatima Ali"/>
    <m/>
    <n v="43"/>
    <x v="3"/>
    <s v="United States"/>
    <s v="01-05-2023"/>
    <s v="2023-01-05"/>
    <x v="7"/>
    <n v="1680061689"/>
    <d v="2023-03-29T03:48:09"/>
    <n v="1211.78"/>
    <n v="1211.78"/>
    <s v="Great customer $$$"/>
    <s v="Great customer "/>
  </r>
  <r>
    <n v="1095"/>
    <s v="Emily Davis"/>
    <s v="Emily Davis"/>
    <s v="Emily Davis"/>
    <m/>
    <n v="43"/>
    <x v="5"/>
    <s v="UAE"/>
    <s v="2023-11-19T00:00:00Z"/>
    <s v="2023-11-19"/>
    <x v="1"/>
    <n v="1679048163"/>
    <d v="2023-03-17T10:16:03"/>
    <m/>
    <n v="0"/>
    <s v="Regular shopper"/>
    <s v="Regular shopper"/>
  </r>
  <r>
    <n v="1819"/>
    <s v=" Emily Davis "/>
    <s v="Emily Davis"/>
    <s v=" Emily Davis "/>
    <n v="62"/>
    <n v="62"/>
    <x v="5"/>
    <s v="UAE"/>
    <s v="04/23/2023"/>
    <s v="2023-04-23"/>
    <x v="4"/>
    <n v="1699505449"/>
    <d v="2023-11-09T04:50:49"/>
    <m/>
    <n v="0"/>
    <s v="Great customer $$$"/>
    <s v="Great customer "/>
  </r>
  <r>
    <n v="2142"/>
    <s v="Emily Davis"/>
    <s v="Emily Davis"/>
    <s v="Emily Davis"/>
    <n v="25"/>
    <n v="25"/>
    <x v="12"/>
    <s v="South Korea"/>
    <s v="2023-12-08T00:00:00Z"/>
    <s v="2023-12-08"/>
    <x v="0"/>
    <n v="1691278420"/>
    <d v="2023-08-05T23:33:40"/>
    <m/>
    <n v="0"/>
    <s v="Holiday signup %"/>
    <s v="Holiday signup "/>
  </r>
  <r>
    <n v="2034"/>
    <s v="Sofia Rossi"/>
    <s v="Sofia Rossi"/>
    <s v="Sofia Rossi"/>
    <n v="53"/>
    <n v="53"/>
    <x v="8"/>
    <s v="Egypt"/>
    <s v="19-08-2023"/>
    <s v="2023-08-19"/>
    <x v="11"/>
    <n v="1697749443"/>
    <d v="2023-10-19T21:04:03"/>
    <m/>
    <n v="0"/>
    <s v="Corporate account"/>
    <s v="Corporate account"/>
  </r>
  <r>
    <n v="1993"/>
    <s v=" Liam O’Connor "/>
    <s v="Liam O’Connor"/>
    <s v=" Liam O’Connor "/>
    <n v="22"/>
    <n v="22"/>
    <x v="11"/>
    <s v="Mexico"/>
    <s v="01-05-2023"/>
    <s v="2023-01-05"/>
    <x v="7"/>
    <n v="1683793173"/>
    <d v="2023-05-11T08:19:33"/>
    <n v="486.37"/>
    <n v="486.37"/>
    <s v="Frequent buyer ñ"/>
    <s v="Frequent buyer n"/>
  </r>
  <r>
    <n v="1309"/>
    <s v="Emily Davis"/>
    <s v="Emily Davis"/>
    <s v="Emily Davis"/>
    <n v="27"/>
    <n v="27"/>
    <x v="3"/>
    <s v="United States"/>
    <s v="August 01 2023"/>
    <s v="2023-08-01"/>
    <x v="11"/>
    <n v="1683626537"/>
    <d v="2023-05-09T10:02:17"/>
    <m/>
    <n v="0"/>
    <s v="Great customer $$$"/>
    <s v="Great customer "/>
  </r>
  <r>
    <n v="1424"/>
    <s v="Sofia Rossi"/>
    <s v="Sofia Rossi"/>
    <s v="Sofia Rossi"/>
    <n v="55"/>
    <n v="55"/>
    <x v="13"/>
    <s v="China"/>
    <s v="2023-09-02"/>
    <s v="2023-09-02"/>
    <x v="5"/>
    <n v="1684327066"/>
    <d v="2023-05-17T12:37:46"/>
    <m/>
    <n v="0"/>
    <s v="High engagement"/>
    <s v="High engagement"/>
  </r>
  <r>
    <n v="2103"/>
    <s v="André Santos"/>
    <s v="André Santos"/>
    <s v="André Santos"/>
    <m/>
    <n v="43"/>
    <x v="4"/>
    <s v="Spain"/>
    <s v="May 20 2023"/>
    <s v="2023-05-20"/>
    <x v="9"/>
    <n v="1688819441"/>
    <d v="2023-07-08T12:30:41"/>
    <m/>
    <n v="0"/>
    <s v="High engagement"/>
    <s v="High engagement"/>
  </r>
  <r>
    <n v="1946"/>
    <s v=" Sarah Johnson "/>
    <s v="Sarah Johnson"/>
    <s v=" Sarah Johnson "/>
    <n v="42"/>
    <n v="42"/>
    <x v="12"/>
    <s v="South Korea"/>
    <s v="17-06-2023"/>
    <s v="2023-06-17"/>
    <x v="10"/>
    <n v="1698066630"/>
    <d v="2023-10-23T13:10:30"/>
    <m/>
    <n v="0"/>
    <s v="High engagement"/>
    <s v="High engagement"/>
  </r>
  <r>
    <n v="1517"/>
    <s v="Li Wei"/>
    <s v="Li Wei"/>
    <s v="Li Wei"/>
    <n v="65"/>
    <n v="65"/>
    <x v="14"/>
    <s v="Italy"/>
    <s v="2023-04-25"/>
    <s v="2023-04-25"/>
    <x v="4"/>
    <n v="1698737831"/>
    <d v="2023-10-31T07:37:11"/>
    <n v="1436.36"/>
    <n v="1436.36"/>
    <s v="Great customer $$$"/>
    <s v="Great customer "/>
  </r>
  <r>
    <n v="1507"/>
    <s v="David Brown"/>
    <s v="David Brown"/>
    <s v="David Brown"/>
    <n v="57"/>
    <n v="57"/>
    <x v="0"/>
    <s v="United Kingdom"/>
    <s v="2023-08-31"/>
    <s v="2023-08-31"/>
    <x v="11"/>
    <n v="1691447678"/>
    <d v="2023-08-07T22:34:38"/>
    <m/>
    <n v="0"/>
    <s v="Student account"/>
    <s v="Student account"/>
  </r>
  <r>
    <n v="1756"/>
    <s v="Sarah Johnson"/>
    <s v="Sarah Johnson"/>
    <s v="Sarah Johnson"/>
    <n v="65"/>
    <n v="65"/>
    <x v="6"/>
    <s v="France"/>
    <s v="2023-06-09"/>
    <s v="2023-06-09"/>
    <x v="10"/>
    <n v="1691941437"/>
    <d v="2023-08-13T15:43:57"/>
    <m/>
    <n v="0"/>
    <s v="Holiday signup %"/>
    <s v="Holiday signup "/>
  </r>
  <r>
    <n v="1769"/>
    <s v="Noah Martin"/>
    <s v="Noah Martin"/>
    <s v="Noah Martin"/>
    <n v="22"/>
    <n v="22"/>
    <x v="4"/>
    <s v="Spain"/>
    <s v="22-02-2023"/>
    <s v="2023-02-22"/>
    <x v="2"/>
    <n v="1701055106"/>
    <d v="2023-11-27T03:18:26"/>
    <n v="1029.55"/>
    <n v="1029.55"/>
    <s v="Holiday signup %"/>
    <s v="Holiday signup "/>
  </r>
  <r>
    <n v="1085"/>
    <s v="Olivia Wilson"/>
    <s v="Olivia Wilson"/>
    <s v="Olivia Wilson"/>
    <n v="60"/>
    <n v="60"/>
    <x v="10"/>
    <s v="Sweden"/>
    <s v="28-11-2023"/>
    <s v="2023-11-28"/>
    <x v="1"/>
    <n v="1672948535"/>
    <d v="2023-01-05T19:55:35"/>
    <m/>
    <n v="0"/>
    <s v="Prefers email %"/>
    <s v="Prefers email "/>
  </r>
  <r>
    <n v="1888"/>
    <s v="Olivia Wilson"/>
    <s v="Olivia Wilson"/>
    <s v="Olivia Wilson"/>
    <n v="47"/>
    <n v="47"/>
    <x v="5"/>
    <s v="UAE"/>
    <s v="2023-04-01T00:00:00Z"/>
    <s v="2023-04-01"/>
    <x v="4"/>
    <n v="1694349729"/>
    <d v="2023-09-10T12:42:09"/>
    <m/>
    <n v="0"/>
    <s v="Regular shopper"/>
    <s v="Regular shopper"/>
  </r>
  <r>
    <n v="1893"/>
    <s v="André Santos"/>
    <s v="André Santos"/>
    <s v="André Santos"/>
    <n v="38"/>
    <n v="38"/>
    <x v="7"/>
    <s v="Brazil"/>
    <s v="08/19/2023"/>
    <s v="2023-08-19"/>
    <x v="11"/>
    <n v="1697705805"/>
    <d v="2023-10-19T08:56:45"/>
    <m/>
    <n v="0"/>
    <s v="Newsletter subscriber %"/>
    <s v="Newsletter subscriber "/>
  </r>
  <r>
    <n v="1059"/>
    <s v="Isabella Martinez"/>
    <s v="Isabella Martinez"/>
    <s v="Isabella Martinez"/>
    <n v="29"/>
    <n v="29"/>
    <x v="14"/>
    <s v="Italy"/>
    <s v="13-05-2023"/>
    <s v="2023-05-13"/>
    <x v="9"/>
    <n v="1681907781"/>
    <d v="2023-04-19T12:36:21"/>
    <m/>
    <n v="0"/>
    <s v="Corporate account"/>
    <s v="Corporate account"/>
  </r>
  <r>
    <n v="1021"/>
    <s v="Ahmed Hassan"/>
    <s v="Ahmed Hassan"/>
    <s v="Ahmed Hassan"/>
    <n v="33"/>
    <n v="33"/>
    <x v="5"/>
    <s v="UAE"/>
    <s v="2023-09-08T00:00:00Z"/>
    <s v="2023-09-08"/>
    <x v="5"/>
    <n v="1697963784"/>
    <d v="2023-10-22T08:36:24"/>
    <m/>
    <n v="0"/>
    <s v="Regular shopper"/>
    <s v="Regular shopper"/>
  </r>
  <r>
    <n v="1918"/>
    <s v=" John Smith "/>
    <s v="John Smith"/>
    <s v=" John Smith "/>
    <n v="43"/>
    <n v="43"/>
    <x v="4"/>
    <s v="Spain"/>
    <s v="2023-06-06T00:00:00Z"/>
    <s v="2023-06-06"/>
    <x v="10"/>
    <n v="1684906271"/>
    <d v="2023-05-24T05:31:11"/>
    <m/>
    <n v="0"/>
    <s v="High engagement"/>
    <s v="High engagement"/>
  </r>
  <r>
    <n v="2128"/>
    <s v="Lucas Silva"/>
    <s v="Lucas Silva"/>
    <s v="Lucas Silva"/>
    <m/>
    <n v="43"/>
    <x v="7"/>
    <s v="Brazil"/>
    <s v="2023-04-29"/>
    <s v="2023-04-29"/>
    <x v="4"/>
    <n v="1696726286"/>
    <d v="2023-10-08T00:51:26"/>
    <n v="296.95"/>
    <n v="296.95"/>
    <s v="Corporate account"/>
    <s v="Corporate account"/>
  </r>
  <r>
    <n v="1380"/>
    <s v=" David Brown "/>
    <s v="David Brown"/>
    <s v=" David Brown "/>
    <n v="35"/>
    <n v="35"/>
    <x v="10"/>
    <s v="Sweden"/>
    <s v="02-11-2023"/>
    <s v="2023-02-11"/>
    <x v="2"/>
    <n v="1675897096"/>
    <d v="2023-02-08T22:58:16"/>
    <m/>
    <n v="0"/>
    <s v="VIP client $$$"/>
    <s v="VIP client "/>
  </r>
  <r>
    <n v="1740"/>
    <s v="Sarah Johnson"/>
    <s v="Sarah Johnson"/>
    <s v="Sarah Johnson"/>
    <n v="63"/>
    <n v="63"/>
    <x v="7"/>
    <s v="Brazil"/>
    <s v="2023-01-24"/>
    <s v="2023-01-24"/>
    <x v="7"/>
    <n v="1691091645"/>
    <d v="2023-08-03T19:40:45"/>
    <n v="445.28"/>
    <n v="445.28"/>
    <s v="Regular shopper"/>
    <s v="Regular shopper"/>
  </r>
  <r>
    <n v="1211"/>
    <s v="John Smith"/>
    <s v="John Smith"/>
    <s v="John Smith"/>
    <m/>
    <n v="43"/>
    <x v="2"/>
    <s v="Japan"/>
    <s v="2023-04-05"/>
    <s v="2023-04-05"/>
    <x v="4"/>
    <n v="1680995768"/>
    <d v="2023-04-08T23:16:08"/>
    <m/>
    <n v="0"/>
    <s v="Prefers email %"/>
    <s v="Prefers email "/>
  </r>
  <r>
    <n v="1134"/>
    <s v="Noah Martin"/>
    <s v="Noah Martin"/>
    <s v="Noah Martin"/>
    <n v="58"/>
    <n v="58"/>
    <x v="3"/>
    <s v="United States"/>
    <s v="03/19/2023"/>
    <s v="2023-03-19"/>
    <x v="6"/>
    <n v="1699741411"/>
    <d v="2023-11-11T22:23:31"/>
    <m/>
    <n v="0"/>
    <s v="Prefers email %"/>
    <s v="Prefers email "/>
  </r>
  <r>
    <n v="1509"/>
    <s v="Anne Müller"/>
    <s v="Anne Müller"/>
    <s v="Anne Müller"/>
    <n v="56"/>
    <n v="56"/>
    <x v="4"/>
    <s v="Spain"/>
    <s v="September 25 2023"/>
    <s v="2023-09-25"/>
    <x v="5"/>
    <n v="1687640756"/>
    <d v="2023-06-24T21:05:56"/>
    <m/>
    <n v="0"/>
    <s v="Holiday signup %"/>
    <s v="Holiday signup "/>
  </r>
  <r>
    <n v="1879"/>
    <s v="Fatima Ali"/>
    <s v="Fatima Ali"/>
    <s v="Fatima Ali"/>
    <n v="57"/>
    <n v="57"/>
    <x v="0"/>
    <s v="United Kingdom"/>
    <s v="04/17/2023"/>
    <s v="2023-04-17"/>
    <x v="4"/>
    <n v="1681404050"/>
    <d v="2023-04-13T16:40:50"/>
    <n v="994.04"/>
    <n v="994.04"/>
    <s v="VIP client $$$"/>
    <s v="VIP client "/>
  </r>
  <r>
    <n v="1356"/>
    <s v=" Chloe Dubois "/>
    <s v="Chloe Dubois"/>
    <s v=" Chloe Dubois "/>
    <m/>
    <n v="43"/>
    <x v="8"/>
    <s v="Egypt"/>
    <s v="2023-05-30"/>
    <s v="2023-05-30"/>
    <x v="9"/>
    <n v="1680291053"/>
    <d v="2023-03-31T19:30:53"/>
    <m/>
    <n v="0"/>
    <s v="Regular shopper"/>
    <s v="Regular shopper"/>
  </r>
  <r>
    <n v="1146"/>
    <s v=" Zoë Kravitz "/>
    <s v="Zoë Kravitz"/>
    <s v=" Zoë Kravitz "/>
    <n v="58"/>
    <n v="58"/>
    <x v="1"/>
    <s v="Germany"/>
    <s v="2023-08-06"/>
    <s v="2023-08-06"/>
    <x v="11"/>
    <n v="1690796481"/>
    <d v="2023-07-31T09:41:21"/>
    <n v="344.97"/>
    <n v="344.97"/>
    <s v="Student account"/>
    <s v="Student account"/>
  </r>
  <r>
    <n v="1292"/>
    <s v=" Li Wei "/>
    <s v="Li Wei"/>
    <s v=" Li Wei "/>
    <n v="56"/>
    <n v="56"/>
    <x v="11"/>
    <s v="Mexico"/>
    <s v="2023-08-13"/>
    <s v="2023-08-13"/>
    <x v="11"/>
    <n v="1688250894"/>
    <d v="2023-07-01T22:34:54"/>
    <m/>
    <n v="0"/>
    <s v="Student account"/>
    <s v="Student account"/>
  </r>
  <r>
    <n v="2025"/>
    <s v="Chloe Dubois"/>
    <s v="Chloe Dubois"/>
    <s v="Chloe Dubois"/>
    <n v="23"/>
    <n v="23"/>
    <x v="5"/>
    <s v="UAE"/>
    <s v="2023-06-15T00:00:00Z"/>
    <s v="2023-06-15"/>
    <x v="10"/>
    <n v="1680924952"/>
    <d v="2023-04-08T03:35:52"/>
    <n v="48.54"/>
    <n v="48.54"/>
    <s v="Holiday signup %"/>
    <s v="Holiday signup "/>
  </r>
  <r>
    <n v="1043"/>
    <s v="Björn Larsson"/>
    <s v="Björn Larsson"/>
    <s v="Björn Larsson"/>
    <n v="35"/>
    <n v="35"/>
    <x v="6"/>
    <s v="France"/>
    <s v="2023-08-29T00:00:00Z"/>
    <s v="2023-08-29"/>
    <x v="11"/>
    <n v="1694385030"/>
    <d v="2023-09-10T22:30:30"/>
    <m/>
    <n v="0"/>
    <s v="Frequent buyer ñ"/>
    <s v="Frequent buyer n"/>
  </r>
  <r>
    <n v="2199"/>
    <s v="Sofia Rossi"/>
    <s v="Sofia Rossi"/>
    <s v="Sofia Rossi"/>
    <m/>
    <n v="43"/>
    <x v="14"/>
    <s v="Italy"/>
    <s v="29-07-2023"/>
    <s v="2023-07-29"/>
    <x v="8"/>
    <n v="1683296927"/>
    <d v="2023-05-05T14:28:47"/>
    <n v="1008.5"/>
    <n v="1008.5"/>
    <s v="Newsletter subscriber %"/>
    <s v="Newsletter subscriber "/>
  </r>
  <r>
    <n v="1844"/>
    <s v="Renée Dupont"/>
    <s v="Renée Dupont"/>
    <s v="Renée Dupont"/>
    <n v="43"/>
    <n v="43"/>
    <x v="3"/>
    <s v="United States"/>
    <s v="2023-08-21"/>
    <s v="2023-08-21"/>
    <x v="11"/>
    <n v="1683077444"/>
    <d v="2023-05-03T01:30:44"/>
    <n v="386.07"/>
    <n v="386.07"/>
    <s v="High engagement"/>
    <s v="High engagement"/>
  </r>
  <r>
    <n v="2054"/>
    <s v="John Smith"/>
    <s v="John Smith"/>
    <s v="John Smith"/>
    <m/>
    <n v="43"/>
    <x v="3"/>
    <s v="United States"/>
    <s v="2023-04-07T00:00:00Z"/>
    <s v="2023-04-07"/>
    <x v="4"/>
    <n v="1684663300"/>
    <d v="2023-05-21T10:01:40"/>
    <m/>
    <n v="0"/>
    <s v="Regular shopper"/>
    <s v="Regular shopper"/>
  </r>
  <r>
    <n v="1106"/>
    <s v=" David Brown "/>
    <s v="David Brown"/>
    <s v=" David Brown "/>
    <m/>
    <n v="43"/>
    <x v="8"/>
    <s v="Egypt"/>
    <s v="2023-03-04"/>
    <s v="2023-03-04"/>
    <x v="6"/>
    <n v="1693664039"/>
    <d v="2023-09-02T14:13:59"/>
    <n v="917.22"/>
    <n v="917.22"/>
    <s v="Frequent buyer ñ"/>
    <s v="Frequent buyer n"/>
  </r>
  <r>
    <n v="1637"/>
    <s v=" Chloe Dubois "/>
    <s v="Chloe Dubois"/>
    <s v=" Chloe Dubois "/>
    <n v="44"/>
    <n v="44"/>
    <x v="0"/>
    <s v="United Kingdom"/>
    <s v="2023-08-25"/>
    <s v="2023-08-25"/>
    <x v="11"/>
    <n v="1694257530"/>
    <d v="2023-09-09T11:05:30"/>
    <m/>
    <n v="0"/>
    <s v="Student account"/>
    <s v="Student account"/>
  </r>
  <r>
    <n v="2043"/>
    <s v=" Renée Dupont "/>
    <s v="Renée Dupont"/>
    <s v=" Renée Dupont "/>
    <n v="48"/>
    <n v="48"/>
    <x v="12"/>
    <s v="South Korea"/>
    <s v="10/10/2023"/>
    <s v="2023-10-10"/>
    <x v="3"/>
    <n v="1685395010"/>
    <d v="2023-05-29T21:16:50"/>
    <n v="294.01"/>
    <n v="294.01"/>
    <s v="Prefers email %"/>
    <s v="Prefers email "/>
  </r>
  <r>
    <n v="1566"/>
    <s v="Björn Larsson"/>
    <s v="Björn Larsson"/>
    <s v="Björn Larsson"/>
    <n v="39"/>
    <n v="39"/>
    <x v="7"/>
    <s v="Brazil"/>
    <s v="02-01-2023"/>
    <s v="2023-02-01"/>
    <x v="2"/>
    <n v="1696886228"/>
    <d v="2023-10-09T21:17:08"/>
    <m/>
    <n v="0"/>
    <s v="Frequent buyer ñ"/>
    <s v="Frequent buyer n"/>
  </r>
  <r>
    <n v="1915"/>
    <s v="Chloe Dubois"/>
    <s v="Chloe Dubois"/>
    <s v="Chloe Dubois"/>
    <n v="53"/>
    <n v="53"/>
    <x v="13"/>
    <s v="China"/>
    <s v="22-08-2023"/>
    <s v="2023-08-22"/>
    <x v="11"/>
    <n v="1701702990"/>
    <d v="2023-12-04T15:16:30"/>
    <n v="291.08999999999997"/>
    <n v="291.08999999999997"/>
    <s v="Holiday signup %"/>
    <s v="Holiday signup "/>
  </r>
  <r>
    <n v="1785"/>
    <s v="Emily Davis"/>
    <s v="Emily Davis"/>
    <s v="Emily Davis"/>
    <m/>
    <n v="43"/>
    <x v="8"/>
    <s v="Egypt"/>
    <s v="December 28 2023"/>
    <s v="2023-12-28"/>
    <x v="0"/>
    <n v="1685478653"/>
    <d v="2023-05-30T20:30:53"/>
    <n v="1482.74"/>
    <n v="1482.74"/>
    <s v="Regular shopper"/>
    <s v="Regular shopper"/>
  </r>
  <r>
    <n v="1076"/>
    <s v="Carlos García"/>
    <s v="Carlos García"/>
    <s v="Carlos García"/>
    <n v="55"/>
    <n v="55"/>
    <x v="12"/>
    <s v="South Korea"/>
    <s v="2023-02-21T00:00:00Z"/>
    <s v="2023-02-21"/>
    <x v="2"/>
    <n v="1703073353"/>
    <d v="2023-12-20T11:55:53"/>
    <n v="690.82"/>
    <n v="690.82"/>
    <s v="High engagement"/>
    <s v="High engagement"/>
  </r>
  <r>
    <n v="1317"/>
    <s v="Li Wei"/>
    <s v="Li Wei"/>
    <s v="Li Wei"/>
    <n v="39"/>
    <n v="39"/>
    <x v="13"/>
    <s v="China"/>
    <s v="2023-11-29"/>
    <s v="2023-11-29"/>
    <x v="1"/>
    <n v="1701104500"/>
    <d v="2023-11-27T17:01:40"/>
    <m/>
    <n v="0"/>
    <s v="Newsletter subscriber %"/>
    <s v="Newsletter subscriber "/>
  </r>
  <r>
    <n v="2000"/>
    <s v=" Chloe Dubois "/>
    <s v="Chloe Dubois"/>
    <s v=" Chloe Dubois "/>
    <n v="33"/>
    <n v="33"/>
    <x v="11"/>
    <s v="Mexico"/>
    <s v="2023-04-27"/>
    <s v="2023-04-27"/>
    <x v="4"/>
    <n v="1687085666"/>
    <d v="2023-06-18T10:54:26"/>
    <n v="1467.72"/>
    <n v="1467.72"/>
    <s v="Regular shopper"/>
    <s v="Regular shopper"/>
  </r>
  <r>
    <n v="1294"/>
    <s v="Emily Davis"/>
    <s v="Emily Davis"/>
    <s v="Emily Davis"/>
    <m/>
    <n v="43"/>
    <x v="3"/>
    <s v="United States"/>
    <s v="27-08-2023"/>
    <s v="2023-08-27"/>
    <x v="11"/>
    <n v="1695260848"/>
    <d v="2023-09-21T01:47:28"/>
    <n v="824.43"/>
    <n v="824.43"/>
    <s v="Regular shopper"/>
    <s v="Regular shopper"/>
  </r>
  <r>
    <n v="1708"/>
    <s v=" Daniel Kim "/>
    <s v="Daniel Kim"/>
    <s v=" Daniel Kim "/>
    <m/>
    <n v="43"/>
    <x v="12"/>
    <s v="South Korea"/>
    <s v="06/04/2023"/>
    <s v="2023-06-04"/>
    <x v="10"/>
    <n v="1685432163"/>
    <d v="2023-05-30T07:36:03"/>
    <n v="1281.47"/>
    <n v="1281.47"/>
    <s v="VIP client $$$"/>
    <s v="VIP client "/>
  </r>
  <r>
    <n v="1782"/>
    <s v="Daniel Kim"/>
    <s v="Daniel Kim"/>
    <s v="Daniel Kim"/>
    <m/>
    <n v="43"/>
    <x v="3"/>
    <s v="United States"/>
    <s v="December 04 2023"/>
    <s v="2023-12-04"/>
    <x v="0"/>
    <n v="1681734033"/>
    <d v="2023-04-17T12:20:33"/>
    <n v="22.07"/>
    <n v="22.07"/>
    <s v="Holiday signup %"/>
    <s v="Holiday signup "/>
  </r>
  <r>
    <n v="2018"/>
    <s v="Fatima Ali"/>
    <s v="Fatima Ali"/>
    <s v="Fatima Ali"/>
    <m/>
    <n v="43"/>
    <x v="4"/>
    <s v="Spain"/>
    <s v="11/22/2023"/>
    <s v="2023-11-22"/>
    <x v="1"/>
    <n v="1693357650"/>
    <d v="2023-08-30T01:07:30"/>
    <n v="383.43"/>
    <n v="383.43"/>
    <s v="Prefers email %"/>
    <s v="Prefers email "/>
  </r>
  <r>
    <n v="1081"/>
    <s v="Fatima Ali"/>
    <s v="Fatima Ali"/>
    <s v="Fatima Ali"/>
    <m/>
    <n v="43"/>
    <x v="0"/>
    <s v="United Kingdom"/>
    <s v="16-02-2023"/>
    <s v="2023-02-16"/>
    <x v="2"/>
    <n v="1683486874"/>
    <d v="2023-05-07T19:14:34"/>
    <n v="1123.75"/>
    <n v="1123.75"/>
    <s v="VIP client $$$"/>
    <s v="VIP client "/>
  </r>
  <r>
    <n v="1271"/>
    <s v="Chloe Dubois"/>
    <s v="Chloe Dubois"/>
    <s v="Chloe Dubois"/>
    <n v="51"/>
    <n v="51"/>
    <x v="7"/>
    <s v="Brazil"/>
    <s v="26-03-2023"/>
    <s v="2023-03-26"/>
    <x v="6"/>
    <n v="1703194393"/>
    <d v="2023-12-21T21:33:13"/>
    <m/>
    <n v="0"/>
    <s v="Student account"/>
    <s v="Student account"/>
  </r>
  <r>
    <n v="1694"/>
    <s v="Anne Müller"/>
    <s v="Anne Müller"/>
    <s v="Anne Müller"/>
    <n v="22"/>
    <n v="22"/>
    <x v="13"/>
    <s v="China"/>
    <s v="13-10-2023"/>
    <s v="2023-10-13"/>
    <x v="3"/>
    <n v="1675554061"/>
    <d v="2023-02-04T23:41:01"/>
    <n v="1188.1199999999999"/>
    <n v="1188.1199999999999"/>
    <s v="Student account"/>
    <s v="Student account"/>
  </r>
  <r>
    <n v="2099"/>
    <s v="Anne Müller"/>
    <s v="Anne Müller"/>
    <s v="Anne Müller"/>
    <n v="65"/>
    <n v="65"/>
    <x v="7"/>
    <s v="Brazil"/>
    <s v="October 27 2023"/>
    <s v="2023-10-27"/>
    <x v="3"/>
    <n v="1700119745"/>
    <d v="2023-11-16T07:29:05"/>
    <m/>
    <n v="0"/>
    <s v="Prefers email %"/>
    <s v="Prefers email "/>
  </r>
  <r>
    <n v="1479"/>
    <s v=" Isabella Martinez "/>
    <s v="Isabella Martinez"/>
    <s v=" Isabella Martinez "/>
    <n v="38"/>
    <n v="38"/>
    <x v="4"/>
    <s v="Spain"/>
    <s v="2023-11-28"/>
    <s v="2023-11-28"/>
    <x v="1"/>
    <n v="1693844617"/>
    <d v="2023-09-04T16:23:37"/>
    <m/>
    <n v="0"/>
    <s v="High engagement"/>
    <s v="High engagement"/>
  </r>
  <r>
    <n v="1239"/>
    <s v=" Carlos García "/>
    <s v="Carlos García"/>
    <s v=" Carlos García "/>
    <m/>
    <n v="43"/>
    <x v="0"/>
    <s v="United Kingdom"/>
    <s v="02/19/2023"/>
    <s v="2023-02-19"/>
    <x v="2"/>
    <n v="1702295482"/>
    <d v="2023-12-11T11:51:22"/>
    <m/>
    <n v="0"/>
    <s v="Regular shopper"/>
    <s v="Regular shopper"/>
  </r>
  <r>
    <n v="1760"/>
    <s v="Zoë Kravitz"/>
    <s v="Zoë Kravitz"/>
    <s v="Zoë Kravitz"/>
    <m/>
    <n v="43"/>
    <x v="0"/>
    <s v="United Kingdom"/>
    <s v="2023-08-01"/>
    <s v="2023-08-01"/>
    <x v="11"/>
    <n v="1700498097"/>
    <d v="2023-11-20T16:34:57"/>
    <m/>
    <n v="0"/>
    <s v="Student account"/>
    <s v="Student account"/>
  </r>
  <r>
    <n v="1068"/>
    <s v="Renée Dupont"/>
    <s v="Renée Dupont"/>
    <s v="Renée Dupont"/>
    <n v="46"/>
    <n v="46"/>
    <x v="14"/>
    <s v="Italy"/>
    <s v="20-02-2023"/>
    <s v="2023-02-20"/>
    <x v="2"/>
    <n v="1690793242"/>
    <d v="2023-07-31T08:47:22"/>
    <m/>
    <n v="0"/>
    <s v="Great customer $$$"/>
    <s v="Great customer "/>
  </r>
  <r>
    <n v="1816"/>
    <s v=" Akira Tanaka "/>
    <s v="Akira Tanaka"/>
    <s v=" Akira Tanaka "/>
    <n v="25"/>
    <n v="25"/>
    <x v="1"/>
    <s v="Germany"/>
    <s v="2023-11-25T00:00:00Z"/>
    <s v="2023-11-25"/>
    <x v="1"/>
    <n v="1673240637"/>
    <d v="2023-01-09T05:03:57"/>
    <m/>
    <n v="0"/>
    <s v="VIP client $$$"/>
    <s v="VIP client "/>
  </r>
  <r>
    <n v="1258"/>
    <s v=" Daniel Kim "/>
    <s v="Daniel Kim"/>
    <s v=" Daniel Kim "/>
    <n v="31"/>
    <n v="31"/>
    <x v="1"/>
    <s v="Germany"/>
    <s v="30-04-2023"/>
    <s v="2023-04-30"/>
    <x v="4"/>
    <n v="1698507497"/>
    <d v="2023-10-28T15:38:17"/>
    <n v="229.86"/>
    <n v="229.86"/>
    <s v="Student account"/>
    <s v="Student account"/>
  </r>
  <r>
    <n v="1297"/>
    <s v="Carlos García"/>
    <s v="Carlos García"/>
    <s v="Carlos García"/>
    <n v="25"/>
    <n v="25"/>
    <x v="3"/>
    <s v="United States"/>
    <s v="2023-03-09"/>
    <s v="2023-03-09"/>
    <x v="6"/>
    <n v="1684544616"/>
    <d v="2023-05-20T01:03:36"/>
    <n v="1187.08"/>
    <n v="1187.08"/>
    <s v="Holiday signup %"/>
    <s v="Holiday signup "/>
  </r>
  <r>
    <n v="1664"/>
    <s v=" John Smith "/>
    <s v="John Smith"/>
    <s v=" John Smith "/>
    <n v="26"/>
    <n v="26"/>
    <x v="5"/>
    <s v="UAE"/>
    <s v="2023-09-27"/>
    <s v="2023-09-27"/>
    <x v="5"/>
    <n v="1697544374"/>
    <d v="2023-10-17T12:06:14"/>
    <m/>
    <n v="0"/>
    <s v="Newsletter subscriber %"/>
    <s v="Newsletter subscriber "/>
  </r>
  <r>
    <n v="2052"/>
    <s v=" Daniel Kim "/>
    <s v="Daniel Kim"/>
    <s v=" Daniel Kim "/>
    <n v="32"/>
    <n v="32"/>
    <x v="3"/>
    <s v="United States"/>
    <s v="2023-12-04T00:00:00Z"/>
    <s v="2023-12-04"/>
    <x v="0"/>
    <n v="1682645034"/>
    <d v="2023-04-28T01:23:54"/>
    <n v="692.48"/>
    <n v="692.48"/>
    <s v="Great customer $$$"/>
    <s v="Great customer "/>
  </r>
  <r>
    <n v="1981"/>
    <s v="Noah Martin"/>
    <s v="Noah Martin"/>
    <s v="Noah Martin"/>
    <n v="49"/>
    <n v="49"/>
    <x v="12"/>
    <s v="South Korea"/>
    <s v="2023-02-07"/>
    <s v="2023-02-07"/>
    <x v="2"/>
    <n v="1683332279"/>
    <d v="2023-05-06T00:17:59"/>
    <n v="916.36"/>
    <n v="916.36"/>
    <s v="Frequent buyer ñ"/>
    <s v="Frequent buyer n"/>
  </r>
  <r>
    <n v="1564"/>
    <s v="Mia Thompson"/>
    <s v="Mia Thompson"/>
    <s v="Mia Thompson"/>
    <m/>
    <n v="43"/>
    <x v="13"/>
    <s v="China"/>
    <s v="2023-11-02T00:00:00Z"/>
    <s v="2023-11-02"/>
    <x v="1"/>
    <n v="1682419126"/>
    <d v="2023-04-25T10:38:46"/>
    <m/>
    <n v="0"/>
    <s v="Prefers email %"/>
    <s v="Prefers email "/>
  </r>
  <r>
    <n v="1235"/>
    <s v="Liam O’Connor"/>
    <s v="Liam O’Connor"/>
    <s v="Liam O’Connor"/>
    <n v="53"/>
    <n v="53"/>
    <x v="5"/>
    <s v="UAE"/>
    <s v="08/20/2023"/>
    <s v="2023-08-20"/>
    <x v="11"/>
    <n v="1686409279"/>
    <d v="2023-06-10T15:01:19"/>
    <m/>
    <n v="0"/>
    <s v="High engagement"/>
    <s v="High engagement"/>
  </r>
  <r>
    <n v="1852"/>
    <s v=" André Santos "/>
    <s v="André Santos"/>
    <s v=" André Santos "/>
    <n v="38"/>
    <n v="38"/>
    <x v="7"/>
    <s v="Brazil"/>
    <s v="07/11/2023"/>
    <s v="2023-07-11"/>
    <x v="8"/>
    <n v="1695569889"/>
    <d v="2023-09-24T15:38:09"/>
    <n v="1385.25"/>
    <n v="1385.25"/>
    <s v="Prefers email %"/>
    <s v="Prefers email "/>
  </r>
  <r>
    <n v="1175"/>
    <s v="Li Wei"/>
    <s v="Li Wei"/>
    <s v="Li Wei"/>
    <m/>
    <n v="43"/>
    <x v="0"/>
    <s v="United Kingdom"/>
    <s v="2023-10-12"/>
    <s v="2023-10-12"/>
    <x v="3"/>
    <n v="1692202502"/>
    <d v="2023-08-16T16:15:02"/>
    <m/>
    <n v="0"/>
    <s v="Prefers email %"/>
    <s v="Prefers email "/>
  </r>
  <r>
    <n v="1842"/>
    <s v="Olivia Wilson"/>
    <s v="Olivia Wilson"/>
    <s v="Olivia Wilson"/>
    <n v="45"/>
    <n v="45"/>
    <x v="11"/>
    <s v="Mexico"/>
    <s v="04-11-2023"/>
    <s v="2023-04-11"/>
    <x v="4"/>
    <n v="1684323288"/>
    <d v="2023-05-17T11:34:48"/>
    <n v="164.36"/>
    <n v="164.36"/>
    <s v="Frequent buyer ñ"/>
    <s v="Frequent buyer n"/>
  </r>
  <r>
    <n v="1988"/>
    <s v="Emily Davis"/>
    <s v="Emily Davis"/>
    <s v="Emily Davis"/>
    <m/>
    <n v="43"/>
    <x v="0"/>
    <s v="United Kingdom"/>
    <s v="2023-05-23T00:00:00Z"/>
    <s v="2023-05-23"/>
    <x v="9"/>
    <n v="1680112639"/>
    <d v="2023-03-29T17:57:19"/>
    <n v="1212.76"/>
    <n v="1212.76"/>
    <s v="Holiday signup %"/>
    <s v="Holiday signup "/>
  </r>
  <r>
    <n v="1548"/>
    <s v=" John Smith "/>
    <s v="John Smith"/>
    <s v=" John Smith "/>
    <m/>
    <n v="43"/>
    <x v="14"/>
    <s v="Italy"/>
    <s v="01/04/2023"/>
    <s v="2023-01-04"/>
    <x v="7"/>
    <n v="1701711749"/>
    <d v="2023-12-04T17:42:29"/>
    <m/>
    <n v="0"/>
    <s v="Prefers email %"/>
    <s v="Prefers email "/>
  </r>
  <r>
    <n v="1291"/>
    <s v="André Santos"/>
    <s v="André Santos"/>
    <s v="André Santos"/>
    <n v="23"/>
    <n v="23"/>
    <x v="10"/>
    <s v="Sweden"/>
    <s v="April 21 2023"/>
    <s v="2023-04-21"/>
    <x v="4"/>
    <n v="1686611240"/>
    <d v="2023-06-12T23:07:20"/>
    <n v="685.93"/>
    <n v="685.93"/>
    <s v="Newsletter subscriber %"/>
    <s v="Newsletter subscriber "/>
  </r>
  <r>
    <n v="1639"/>
    <s v="André Santos"/>
    <s v="André Santos"/>
    <s v="André Santos"/>
    <n v="54"/>
    <n v="54"/>
    <x v="3"/>
    <s v="United States"/>
    <s v="03/21/2023"/>
    <s v="2023-03-21"/>
    <x v="6"/>
    <n v="1697838667"/>
    <d v="2023-10-20T21:51:07"/>
    <n v="930.58"/>
    <n v="930.58"/>
    <s v="Student account"/>
    <s v="Student account"/>
  </r>
  <r>
    <n v="1908"/>
    <s v="Zoë Kravitz"/>
    <s v="Zoë Kravitz"/>
    <s v="Zoë Kravitz"/>
    <m/>
    <n v="43"/>
    <x v="7"/>
    <s v="Brazil"/>
    <s v="2023-04-21T00:00:00Z"/>
    <s v="2023-04-21"/>
    <x v="4"/>
    <n v="1676343081"/>
    <d v="2023-02-14T02:51:21"/>
    <n v="524.30999999999995"/>
    <n v="524.30999999999995"/>
    <s v="Student account"/>
    <s v="Student account"/>
  </r>
  <r>
    <n v="1997"/>
    <s v="Ahmed Hassan"/>
    <s v="Ahmed Hassan"/>
    <s v="Ahmed Hassan"/>
    <m/>
    <n v="43"/>
    <x v="3"/>
    <s v="United States"/>
    <s v="01/04/2023"/>
    <s v="2023-01-04"/>
    <x v="7"/>
    <n v="1682637955"/>
    <d v="2023-04-27T23:25:55"/>
    <n v="1418.53"/>
    <n v="1418.53"/>
    <s v="Student account"/>
    <s v="Student account"/>
  </r>
  <r>
    <n v="1593"/>
    <s v=" Lucas Silva "/>
    <s v="Lucas Silva"/>
    <s v=" Lucas Silva "/>
    <m/>
    <n v="43"/>
    <x v="6"/>
    <s v="France"/>
    <s v="March 08 2023"/>
    <s v="2023-03-08"/>
    <x v="6"/>
    <n v="1690394498"/>
    <d v="2023-07-26T18:01:38"/>
    <m/>
    <n v="0"/>
    <s v="Prefers email %"/>
    <s v="Prefers email "/>
  </r>
  <r>
    <n v="1814"/>
    <s v=" André Santos "/>
    <s v="André Santos"/>
    <s v=" André Santos "/>
    <n v="19"/>
    <n v="19"/>
    <x v="2"/>
    <s v="Japan"/>
    <s v="October 22 2023"/>
    <s v="2023-10-22"/>
    <x v="3"/>
    <n v="1691764100"/>
    <d v="2023-08-11T14:28:20"/>
    <m/>
    <n v="0"/>
    <s v="Student account"/>
    <s v="Student account"/>
  </r>
  <r>
    <n v="1236"/>
    <s v=" Noah Martin "/>
    <s v="Noah Martin"/>
    <s v=" Noah Martin "/>
    <n v="28"/>
    <n v="28"/>
    <x v="12"/>
    <s v="South Korea"/>
    <s v="20-12-2023"/>
    <s v="2023-12-20"/>
    <x v="0"/>
    <n v="1675481148"/>
    <d v="2023-02-04T03:25:48"/>
    <n v="660.7"/>
    <n v="660.7"/>
    <s v="VIP client $$$"/>
    <s v="VIP client "/>
  </r>
  <r>
    <n v="2045"/>
    <s v="David Brown"/>
    <s v="David Brown"/>
    <s v="David Brown"/>
    <n v="40"/>
    <n v="40"/>
    <x v="0"/>
    <s v="United Kingdom"/>
    <s v="2023-05-01"/>
    <s v="2023-05-01"/>
    <x v="9"/>
    <n v="1677437852"/>
    <d v="2023-02-26T18:57:32"/>
    <n v="391.39"/>
    <n v="391.39"/>
    <s v="Holiday signup %"/>
    <s v="Holiday signup "/>
  </r>
  <r>
    <n v="1314"/>
    <s v="Björn Larsson"/>
    <s v="Björn Larsson"/>
    <s v="Björn Larsson"/>
    <n v="29"/>
    <n v="29"/>
    <x v="8"/>
    <s v="Egypt"/>
    <s v="2023-08-26T00:00:00Z"/>
    <s v="2023-08-26"/>
    <x v="11"/>
    <n v="1698021246"/>
    <d v="2023-10-23T00:34:06"/>
    <m/>
    <n v="0"/>
    <s v="Newsletter subscriber %"/>
    <s v="Newsletter subscriber "/>
  </r>
  <r>
    <n v="1310"/>
    <s v=" Ethan Clark "/>
    <s v="Ethan Clark"/>
    <s v=" Ethan Clark "/>
    <m/>
    <n v="43"/>
    <x v="7"/>
    <s v="Brazil"/>
    <s v="2023-10-30"/>
    <s v="2023-10-30"/>
    <x v="3"/>
    <n v="1684333221"/>
    <d v="2023-05-17T14:20:21"/>
    <m/>
    <n v="0"/>
    <s v="Regular shopper"/>
    <s v="Regular shopper"/>
  </r>
  <r>
    <n v="1926"/>
    <s v=" Maria Lopez "/>
    <s v="Maria Lopez"/>
    <s v=" Maria Lopez "/>
    <n v="22"/>
    <n v="22"/>
    <x v="3"/>
    <s v="United States"/>
    <s v="2023-11-11T00:00:00Z"/>
    <s v="2023-11-11"/>
    <x v="1"/>
    <n v="1689538372"/>
    <d v="2023-07-16T20:12:52"/>
    <n v="582.88"/>
    <n v="582.88"/>
    <s v="Regular shopper"/>
    <s v="Regular shopper"/>
  </r>
  <r>
    <n v="2171"/>
    <s v=" Liam O’Connor "/>
    <s v="Liam O’Connor"/>
    <s v=" Liam O’Connor "/>
    <n v="48"/>
    <n v="48"/>
    <x v="0"/>
    <s v="United Kingdom"/>
    <s v="February 01 2023"/>
    <s v="2023-02-01"/>
    <x v="2"/>
    <n v="1675996946"/>
    <d v="2023-02-10T02:42:26"/>
    <m/>
    <n v="0"/>
    <s v="Prefers email %"/>
    <s v="Prefers email "/>
  </r>
  <r>
    <n v="1794"/>
    <s v="Sofia Rossi"/>
    <s v="Sofia Rossi"/>
    <s v="Sofia Rossi"/>
    <n v="61"/>
    <n v="61"/>
    <x v="2"/>
    <s v="Japan"/>
    <s v="03-02-2023"/>
    <s v="2023-03-02"/>
    <x v="6"/>
    <n v="1675695093"/>
    <d v="2023-02-06T14:51:33"/>
    <m/>
    <n v="0"/>
    <s v="Student account"/>
    <s v="Student account"/>
  </r>
  <r>
    <n v="1370"/>
    <s v="David Brown"/>
    <s v="David Brown"/>
    <s v="David Brown"/>
    <n v="49"/>
    <n v="49"/>
    <x v="0"/>
    <s v="United Kingdom"/>
    <s v="2023-03-21"/>
    <s v="2023-03-21"/>
    <x v="6"/>
    <n v="1682449135"/>
    <d v="2023-04-25T18:58:55"/>
    <n v="1268.2"/>
    <n v="1268.2"/>
    <s v="Corporate account"/>
    <s v="Corporate account"/>
  </r>
  <r>
    <n v="2106"/>
    <s v="André Santos"/>
    <s v="André Santos"/>
    <s v="André Santos"/>
    <m/>
    <n v="43"/>
    <x v="0"/>
    <s v="United Kingdom"/>
    <s v="November 02 2023"/>
    <s v="2023-11-02"/>
    <x v="1"/>
    <n v="1677699863"/>
    <d v="2023-03-01T19:44:23"/>
    <n v="251.75"/>
    <n v="251.75"/>
    <s v="Regular shopper"/>
    <s v="Regular shopper"/>
  </r>
  <r>
    <n v="1090"/>
    <s v="Sofia Rossi"/>
    <s v="Sofia Rossi"/>
    <s v="Sofia Rossi"/>
    <m/>
    <n v="43"/>
    <x v="11"/>
    <s v="Mexico"/>
    <s v="08/18/2023"/>
    <s v="2023-08-18"/>
    <x v="11"/>
    <n v="1690442440"/>
    <d v="2023-07-27T07:20:40"/>
    <m/>
    <n v="0"/>
    <s v="VIP client $$$"/>
    <s v="VIP client "/>
  </r>
  <r>
    <n v="1754"/>
    <s v="Zoë Kravitz"/>
    <s v="Zoë Kravitz"/>
    <s v="Zoë Kravitz"/>
    <m/>
    <n v="43"/>
    <x v="13"/>
    <s v="China"/>
    <s v="2023-09-15T00:00:00Z"/>
    <s v="2023-09-15"/>
    <x v="5"/>
    <n v="1686571926"/>
    <d v="2023-06-12T12:12:06"/>
    <n v="1449.74"/>
    <n v="1449.74"/>
    <s v="Holiday signup %"/>
    <s v="Holiday signup "/>
  </r>
  <r>
    <n v="1284"/>
    <s v=" Akira Tanaka "/>
    <s v="Akira Tanaka"/>
    <s v=" Akira Tanaka "/>
    <n v="41"/>
    <n v="41"/>
    <x v="0"/>
    <s v="United Kingdom"/>
    <s v="2023-12-31T00:00:00Z"/>
    <s v="2023-12-31"/>
    <x v="0"/>
    <n v="1701084393"/>
    <d v="2023-11-27T11:26:33"/>
    <n v="195.77"/>
    <n v="195.77"/>
    <s v="Frequent buyer ñ"/>
    <s v="Frequent buyer n"/>
  </r>
  <r>
    <n v="1559"/>
    <s v="Ethan Clark"/>
    <s v="Ethan Clark"/>
    <s v="Ethan Clark"/>
    <n v="27"/>
    <n v="27"/>
    <x v="4"/>
    <s v="Spain"/>
    <s v="19-08-2023"/>
    <s v="2023-08-19"/>
    <x v="11"/>
    <n v="1703745457"/>
    <d v="2023-12-28T06:37:37"/>
    <n v="49.74"/>
    <n v="49.74"/>
    <s v="High engagement"/>
    <s v="High engagement"/>
  </r>
  <r>
    <n v="2029"/>
    <s v=" Olivia Wilson "/>
    <s v="Olivia Wilson"/>
    <s v=" Olivia Wilson "/>
    <n v="23"/>
    <n v="23"/>
    <x v="3"/>
    <s v="United States"/>
    <s v="2023-06-13"/>
    <s v="2023-06-13"/>
    <x v="10"/>
    <n v="1700682083"/>
    <d v="2023-11-22T19:41:23"/>
    <m/>
    <n v="0"/>
    <s v="Frequent buyer ñ"/>
    <s v="Frequent buyer n"/>
  </r>
  <r>
    <n v="1282"/>
    <s v=" Maria Lopez "/>
    <s v="Maria Lopez"/>
    <s v=" Maria Lopez "/>
    <n v="48"/>
    <n v="48"/>
    <x v="8"/>
    <s v="Egypt"/>
    <s v="2023-08-18T00:00:00Z"/>
    <s v="2023-08-18"/>
    <x v="11"/>
    <n v="1672700200"/>
    <d v="2023-01-02T22:56:40"/>
    <n v="1359.73"/>
    <n v="1359.73"/>
    <s v="Student account"/>
    <s v="Student account"/>
  </r>
  <r>
    <n v="1442"/>
    <s v="Carlos García"/>
    <s v="Carlos García"/>
    <s v="Carlos García"/>
    <n v="56"/>
    <n v="56"/>
    <x v="5"/>
    <s v="UAE"/>
    <s v="26-02-2023"/>
    <s v="2023-02-26"/>
    <x v="2"/>
    <n v="1680497882"/>
    <d v="2023-04-03T04:58:02"/>
    <n v="458.72"/>
    <n v="458.72"/>
    <s v="VIP client $$$"/>
    <s v="VIP client "/>
  </r>
  <r>
    <n v="1860"/>
    <s v="Liam O’Connor"/>
    <s v="Liam O’Connor"/>
    <s v="Liam O’Connor"/>
    <n v="47"/>
    <n v="47"/>
    <x v="8"/>
    <s v="Egypt"/>
    <s v="2023-11-02T00:00:00Z"/>
    <s v="2023-11-02"/>
    <x v="1"/>
    <n v="1673075478"/>
    <d v="2023-01-07T07:11:18"/>
    <n v="951.61"/>
    <n v="951.61"/>
    <s v="Frequent buyer ñ"/>
    <s v="Frequent buyer n"/>
  </r>
  <r>
    <n v="1597"/>
    <s v=" Sofia Rossi "/>
    <s v="Sofia Rossi"/>
    <s v=" Sofia Rossi "/>
    <n v="33"/>
    <n v="33"/>
    <x v="5"/>
    <s v="UAE"/>
    <s v="2023-04-06"/>
    <s v="2023-04-06"/>
    <x v="4"/>
    <n v="1690089226"/>
    <d v="2023-07-23T05:13:46"/>
    <n v="1462.24"/>
    <n v="1462.24"/>
    <s v="Corporate account"/>
    <s v="Corporate account"/>
  </r>
  <r>
    <n v="2115"/>
    <s v="Ahmed Hassan"/>
    <s v="Ahmed Hassan"/>
    <s v="Ahmed Hassan"/>
    <n v="50"/>
    <n v="50"/>
    <x v="13"/>
    <s v="China"/>
    <s v="2023-08-29"/>
    <s v="2023-08-29"/>
    <x v="11"/>
    <n v="1693853572"/>
    <d v="2023-09-04T18:52:52"/>
    <m/>
    <n v="0"/>
    <s v="Student account"/>
    <s v="Student account"/>
  </r>
  <r>
    <n v="1034"/>
    <s v="Olivia Wilson"/>
    <s v="Olivia Wilson"/>
    <s v="Olivia Wilson"/>
    <n v="33"/>
    <n v="33"/>
    <x v="0"/>
    <s v="United Kingdom"/>
    <s v="25-10-2023"/>
    <s v="2023-10-25"/>
    <x v="3"/>
    <n v="1677000483"/>
    <d v="2023-02-21T17:28:03"/>
    <m/>
    <n v="0"/>
    <s v="Frequent buyer ñ"/>
    <s v="Frequent buyer n"/>
  </r>
  <r>
    <n v="1952"/>
    <s v="Renée Dupont"/>
    <s v="Renée Dupont"/>
    <s v="Renée Dupont"/>
    <n v="29"/>
    <n v="29"/>
    <x v="12"/>
    <s v="South Korea"/>
    <s v="19-01-2023"/>
    <s v="2023-01-19"/>
    <x v="7"/>
    <n v="1679288271"/>
    <d v="2023-03-20T04:57:51"/>
    <n v="75.27"/>
    <n v="75.27"/>
    <s v="Great customer $$$"/>
    <s v="Great customer "/>
  </r>
  <r>
    <n v="1647"/>
    <s v="Fatima Ali"/>
    <s v="Fatima Ali"/>
    <s v="Fatima Ali"/>
    <m/>
    <n v="43"/>
    <x v="3"/>
    <s v="United States"/>
    <s v="11/28/2023"/>
    <s v="2023-11-28"/>
    <x v="1"/>
    <n v="1682124288"/>
    <d v="2023-04-22T00:44:48"/>
    <n v="541.89"/>
    <n v="541.89"/>
    <s v="Newsletter subscriber %"/>
    <s v="Newsletter subscriber "/>
  </r>
  <r>
    <n v="1560"/>
    <s v="Anne Müller"/>
    <s v="Anne Müller"/>
    <s v="Anne Müller"/>
    <n v="43"/>
    <n v="43"/>
    <x v="12"/>
    <s v="South Korea"/>
    <s v="17-07-2023"/>
    <s v="2023-07-17"/>
    <x v="8"/>
    <n v="1678792545"/>
    <d v="2023-03-14T11:15:45"/>
    <m/>
    <n v="0"/>
    <s v="Newsletter subscriber %"/>
    <s v="Newsletter subscriber "/>
  </r>
  <r>
    <n v="2064"/>
    <s v="Akira Tanaka"/>
    <s v="Akira Tanaka"/>
    <s v="Akira Tanaka"/>
    <n v="64"/>
    <n v="64"/>
    <x v="5"/>
    <s v="UAE"/>
    <s v="11/05/2023"/>
    <s v="2023-11-05"/>
    <x v="1"/>
    <n v="1690827083"/>
    <d v="2023-07-31T18:11:23"/>
    <n v="447.71"/>
    <n v="447.71"/>
    <s v="Prefers email %"/>
    <s v="Prefers email "/>
  </r>
  <r>
    <n v="1672"/>
    <s v=" Zoë Kravitz "/>
    <s v="Zoë Kravitz"/>
    <s v=" Zoë Kravitz "/>
    <n v="56"/>
    <n v="56"/>
    <x v="5"/>
    <s v="UAE"/>
    <s v="March 27 2023"/>
    <s v="2023-03-27"/>
    <x v="6"/>
    <n v="1684319959"/>
    <d v="2023-05-17T10:39:19"/>
    <m/>
    <n v="0"/>
    <s v="Holiday signup %"/>
    <s v="Holiday signup "/>
  </r>
  <r>
    <n v="1891"/>
    <s v="Akira Tanaka"/>
    <s v="Akira Tanaka"/>
    <s v="Akira Tanaka"/>
    <n v="22"/>
    <n v="22"/>
    <x v="13"/>
    <s v="China"/>
    <s v="2023-07-06T00:00:00Z"/>
    <s v="2023-07-06"/>
    <x v="8"/>
    <n v="1699404320"/>
    <d v="2023-11-08T00:45:20"/>
    <n v="1127.3499999999999"/>
    <n v="1127.3499999999999"/>
    <s v="Great customer $$$"/>
    <s v="Great customer "/>
  </r>
  <r>
    <n v="1293"/>
    <s v="Mia Thompson"/>
    <s v="Mia Thompson"/>
    <s v="Mia Thompson"/>
    <n v="46"/>
    <n v="46"/>
    <x v="3"/>
    <s v="United States"/>
    <s v="01-05-2023"/>
    <s v="2023-01-05"/>
    <x v="7"/>
    <n v="1684675757"/>
    <d v="2023-05-21T13:29:17"/>
    <n v="580.45000000000005"/>
    <n v="580.45000000000005"/>
    <s v="Holiday signup %"/>
    <s v="Holiday signup "/>
  </r>
  <r>
    <n v="1315"/>
    <s v="Zoë Kravitz"/>
    <s v="Zoë Kravitz"/>
    <s v="Zoë Kravitz"/>
    <m/>
    <n v="43"/>
    <x v="3"/>
    <s v="United States"/>
    <s v="10/21/2023"/>
    <s v="2023-10-21"/>
    <x v="3"/>
    <n v="1690289725"/>
    <d v="2023-07-25T12:55:25"/>
    <m/>
    <n v="0"/>
    <s v="Student account"/>
    <s v="Student account"/>
  </r>
  <r>
    <n v="1512"/>
    <s v=" Anne Müller "/>
    <s v="Anne Müller"/>
    <s v=" Anne Müller "/>
    <n v="49"/>
    <n v="49"/>
    <x v="13"/>
    <s v="China"/>
    <s v="2023-10-15"/>
    <s v="2023-10-15"/>
    <x v="3"/>
    <n v="1681307767"/>
    <d v="2023-04-12T13:56:07"/>
    <m/>
    <n v="0"/>
    <s v="VIP client $$$"/>
    <s v="VIP client "/>
  </r>
  <r>
    <n v="1585"/>
    <s v="Renée Dupont"/>
    <s v="Renée Dupont"/>
    <s v="Renée Dupont"/>
    <n v="49"/>
    <n v="49"/>
    <x v="0"/>
    <s v="United Kingdom"/>
    <s v="February 07 2023"/>
    <s v="2023-02-07"/>
    <x v="2"/>
    <n v="1678317386"/>
    <d v="2023-03-08T23:16:26"/>
    <m/>
    <n v="0"/>
    <s v="Prefers email %"/>
    <s v="Prefers email "/>
  </r>
  <r>
    <n v="1655"/>
    <s v="Zoë Kravitz"/>
    <s v="Zoë Kravitz"/>
    <s v="Zoë Kravitz"/>
    <n v="53"/>
    <n v="53"/>
    <x v="11"/>
    <s v="Mexico"/>
    <s v="06/03/2023"/>
    <s v="2023-06-03"/>
    <x v="10"/>
    <n v="1696408350"/>
    <d v="2023-10-04T08:32:30"/>
    <n v="1067.25"/>
    <n v="1067.25"/>
    <s v="Newsletter subscriber %"/>
    <s v="Newsletter subscriber "/>
  </r>
  <r>
    <n v="2042"/>
    <s v=" Emily Davis "/>
    <s v="Emily Davis"/>
    <s v=" Emily Davis "/>
    <n v="30"/>
    <n v="30"/>
    <x v="8"/>
    <s v="Egypt"/>
    <s v="14-01-2023"/>
    <s v="2023-01-14"/>
    <x v="7"/>
    <n v="1691113874"/>
    <d v="2023-08-04T01:51:14"/>
    <m/>
    <n v="0"/>
    <s v="Corporate account"/>
    <s v="Corporate account"/>
  </r>
  <r>
    <n v="1266"/>
    <s v="Mia Thompson"/>
    <s v="Mia Thompson"/>
    <s v="Mia Thompson"/>
    <m/>
    <n v="43"/>
    <x v="8"/>
    <s v="Egypt"/>
    <s v="September 27 2023"/>
    <s v="2023-09-27"/>
    <x v="5"/>
    <n v="1698332879"/>
    <d v="2023-10-26T15:07:59"/>
    <n v="620.05999999999995"/>
    <n v="620.05999999999995"/>
    <s v="Frequent buyer ñ"/>
    <s v="Frequent buyer n"/>
  </r>
  <r>
    <n v="1650"/>
    <s v=" Liam O’Connor "/>
    <s v="Liam O’Connor"/>
    <s v=" Liam O’Connor "/>
    <n v="61"/>
    <n v="61"/>
    <x v="14"/>
    <s v="Italy"/>
    <s v="2023-03-07T00:00:00Z"/>
    <s v="2023-03-07"/>
    <x v="6"/>
    <n v="1693991921"/>
    <d v="2023-09-06T09:18:41"/>
    <n v="885.8"/>
    <n v="885.8"/>
    <s v="High engagement"/>
    <s v="High engagement"/>
  </r>
  <r>
    <n v="2030"/>
    <s v="Maria Lopez"/>
    <s v="Maria Lopez"/>
    <s v="Maria Lopez"/>
    <m/>
    <n v="43"/>
    <x v="6"/>
    <s v="France"/>
    <s v="24-03-2023"/>
    <s v="2023-03-24"/>
    <x v="6"/>
    <n v="1703888597"/>
    <d v="2023-12-29T22:23:17"/>
    <m/>
    <n v="0"/>
    <s v="Corporate account"/>
    <s v="Corporate account"/>
  </r>
  <r>
    <n v="1582"/>
    <s v=" Li Wei "/>
    <s v="Li Wei"/>
    <s v=" Li Wei "/>
    <m/>
    <n v="43"/>
    <x v="0"/>
    <s v="United Kingdom"/>
    <s v="17-11-2023"/>
    <s v="2023-11-17"/>
    <x v="1"/>
    <n v="1693140791"/>
    <d v="2023-08-27T12:53:11"/>
    <n v="804.88"/>
    <n v="804.88"/>
    <s v="Holiday signup %"/>
    <s v="Holiday signup "/>
  </r>
  <r>
    <n v="2182"/>
    <s v="Akira Tanaka"/>
    <s v="Akira Tanaka"/>
    <s v="Akira Tanaka"/>
    <n v="44"/>
    <n v="44"/>
    <x v="3"/>
    <s v="United States"/>
    <s v="2023-09-12T00:00:00Z"/>
    <s v="2023-09-12"/>
    <x v="5"/>
    <n v="1682243767"/>
    <d v="2023-04-23T09:56:07"/>
    <m/>
    <n v="0"/>
    <s v="Regular shopper"/>
    <s v="Regular shopper"/>
  </r>
  <r>
    <n v="1502"/>
    <s v="Zoë Kravitz"/>
    <s v="Zoë Kravitz"/>
    <s v="Zoë Kravitz"/>
    <n v="22"/>
    <n v="22"/>
    <x v="3"/>
    <s v="United States"/>
    <s v="March 22 2023"/>
    <s v="2023-03-22"/>
    <x v="6"/>
    <n v="1686469951"/>
    <d v="2023-06-11T07:52:31"/>
    <n v="731.53"/>
    <n v="731.53"/>
    <s v="Newsletter subscriber %"/>
    <s v="Newsletter subscriber "/>
  </r>
  <r>
    <n v="1295"/>
    <s v="Lucas Silva"/>
    <s v="Lucas Silva"/>
    <s v="Lucas Silva"/>
    <m/>
    <n v="43"/>
    <x v="13"/>
    <s v="China"/>
    <s v="08-03-2023"/>
    <s v="2023-08-03"/>
    <x v="11"/>
    <n v="1689803865"/>
    <d v="2023-07-19T21:57:45"/>
    <m/>
    <n v="0"/>
    <s v="VIP client $$$"/>
    <s v="VIP client "/>
  </r>
  <r>
    <n v="1956"/>
    <s v=" Anne Müller "/>
    <s v="Anne Müller"/>
    <s v=" Anne Müller "/>
    <n v="33"/>
    <n v="33"/>
    <x v="3"/>
    <s v="United States"/>
    <s v="May 29 2023"/>
    <s v="2023-05-29"/>
    <x v="9"/>
    <n v="1701520527"/>
    <d v="2023-12-02T12:35:27"/>
    <n v="926.91"/>
    <n v="926.91"/>
    <s v="Frequent buyer ñ"/>
    <s v="Frequent buyer n"/>
  </r>
  <r>
    <n v="1671"/>
    <s v="Daniel Kim"/>
    <s v="Daniel Kim"/>
    <s v="Daniel Kim"/>
    <m/>
    <n v="43"/>
    <x v="10"/>
    <s v="Sweden"/>
    <s v="August 28 2023"/>
    <s v="2023-08-28"/>
    <x v="11"/>
    <n v="1702020884"/>
    <d v="2023-12-08T07:34:44"/>
    <n v="469.73"/>
    <n v="469.73"/>
    <s v="Prefers email %"/>
    <s v="Prefers email "/>
  </r>
  <r>
    <n v="1806"/>
    <s v="Ahmed Hassan"/>
    <s v="Ahmed Hassan"/>
    <s v="Ahmed Hassan"/>
    <n v="31"/>
    <n v="31"/>
    <x v="14"/>
    <s v="Italy"/>
    <s v="2023-01-25"/>
    <s v="2023-01-25"/>
    <x v="7"/>
    <n v="1681964752"/>
    <d v="2023-04-20T04:25:52"/>
    <m/>
    <n v="0"/>
    <s v="Student account"/>
    <s v="Student account"/>
  </r>
  <r>
    <n v="2100"/>
    <s v="John Smith"/>
    <s v="John Smith"/>
    <s v="John Smith"/>
    <m/>
    <n v="43"/>
    <x v="14"/>
    <s v="Italy"/>
    <s v="26-07-2023"/>
    <s v="2023-07-26"/>
    <x v="8"/>
    <n v="1674042082"/>
    <d v="2023-01-18T11:41:22"/>
    <n v="606.87"/>
    <n v="606.87"/>
    <s v="Newsletter subscriber %"/>
    <s v="Newsletter subscriber "/>
  </r>
  <r>
    <n v="2134"/>
    <s v=" Fatima Ali "/>
    <s v="Fatima Ali"/>
    <s v=" Fatima Ali "/>
    <n v="46"/>
    <n v="46"/>
    <x v="7"/>
    <s v="Brazil"/>
    <s v="2023-11-16T00:00:00Z"/>
    <s v="2023-11-16"/>
    <x v="1"/>
    <n v="1676510636"/>
    <d v="2023-02-16T01:23:56"/>
    <n v="201.71"/>
    <n v="201.71"/>
    <s v="High engagement"/>
    <s v="High engagement"/>
  </r>
  <r>
    <n v="1765"/>
    <s v="Lucas Silva"/>
    <s v="Lucas Silva"/>
    <s v="Lucas Silva"/>
    <n v="41"/>
    <n v="41"/>
    <x v="10"/>
    <s v="Sweden"/>
    <s v="2023-07-25T00:00:00Z"/>
    <s v="2023-07-25"/>
    <x v="8"/>
    <n v="1673874730"/>
    <d v="2023-01-16T13:12:10"/>
    <n v="77.5"/>
    <n v="77.5"/>
    <s v="Newsletter subscriber %"/>
    <s v="Newsletter subscriber "/>
  </r>
  <r>
    <n v="1971"/>
    <s v="Ahmed Hassan"/>
    <s v="Ahmed Hassan"/>
    <s v="Ahmed Hassan"/>
    <n v="56"/>
    <n v="56"/>
    <x v="2"/>
    <s v="Japan"/>
    <s v="10-11-2023"/>
    <s v="2023-10-11"/>
    <x v="3"/>
    <n v="1677976663"/>
    <d v="2023-03-05T00:37:43"/>
    <m/>
    <n v="0"/>
    <s v="Holiday signup %"/>
    <s v="Holiday signup "/>
  </r>
  <r>
    <n v="1689"/>
    <s v="Ahmed Hassan"/>
    <s v="Ahmed Hassan"/>
    <s v="Ahmed Hassan"/>
    <n v="49"/>
    <n v="49"/>
    <x v="11"/>
    <s v="Mexico"/>
    <s v="2023-09-01"/>
    <s v="2023-09-01"/>
    <x v="5"/>
    <n v="1684884037"/>
    <d v="2023-05-23T23:20:37"/>
    <n v="503.55"/>
    <n v="503.55"/>
    <s v="High engagement"/>
    <s v="High engagement"/>
  </r>
  <r>
    <n v="2196"/>
    <s v="Fatima Ali"/>
    <s v="Fatima Ali"/>
    <s v="Fatima Ali"/>
    <n v="62"/>
    <n v="62"/>
    <x v="3"/>
    <s v="United States"/>
    <s v="November 02 2023"/>
    <s v="2023-11-02"/>
    <x v="1"/>
    <n v="1681433722"/>
    <d v="2023-04-14T00:55:22"/>
    <n v="1450.94"/>
    <n v="1450.94"/>
    <s v="Great customer $$$"/>
    <s v="Great customer "/>
  </r>
  <r>
    <n v="1039"/>
    <s v="Ethan Clark"/>
    <s v="Ethan Clark"/>
    <s v="Ethan Clark"/>
    <n v="44"/>
    <n v="44"/>
    <x v="1"/>
    <s v="Germany"/>
    <s v="2023-07-30T00:00:00Z"/>
    <s v="2023-07-30"/>
    <x v="8"/>
    <n v="1698527755"/>
    <d v="2023-10-28T21:15:55"/>
    <m/>
    <n v="0"/>
    <s v="Great customer $$$"/>
    <s v="Great customer "/>
  </r>
  <r>
    <n v="1283"/>
    <s v=" Ahmed Hassan "/>
    <s v="Ahmed Hassan"/>
    <s v=" Ahmed Hassan "/>
    <m/>
    <n v="43"/>
    <x v="10"/>
    <s v="Sweden"/>
    <s v="12-07-2023"/>
    <s v="2023-12-07"/>
    <x v="0"/>
    <n v="1678335037"/>
    <d v="2023-03-09T04:10:37"/>
    <m/>
    <n v="0"/>
    <s v="Corporate account"/>
    <s v="Corporate account"/>
  </r>
  <r>
    <n v="1726"/>
    <s v="Zoë Kravitz"/>
    <s v="Zoë Kravitz"/>
    <s v="Zoë Kravitz"/>
    <n v="61"/>
    <n v="61"/>
    <x v="7"/>
    <s v="Brazil"/>
    <s v="November 09 2023"/>
    <s v="2023-11-09"/>
    <x v="1"/>
    <n v="1678975314"/>
    <d v="2023-03-16T14:01:54"/>
    <m/>
    <n v="0"/>
    <s v="Corporate account"/>
    <s v="Corporate account"/>
  </r>
  <r>
    <n v="1612"/>
    <s v="Emily Davis"/>
    <s v="Emily Davis"/>
    <s v="Emily Davis"/>
    <n v="36"/>
    <n v="36"/>
    <x v="1"/>
    <s v="Germany"/>
    <s v="December 20 2023"/>
    <s v="2023-12-20"/>
    <x v="0"/>
    <n v="1683162122"/>
    <d v="2023-05-04T01:02:02"/>
    <m/>
    <n v="0"/>
    <s v="Student account"/>
    <s v="Student account"/>
  </r>
  <r>
    <n v="1250"/>
    <s v="Daniel Kim"/>
    <s v="Daniel Kim"/>
    <s v="Daniel Kim"/>
    <m/>
    <n v="43"/>
    <x v="0"/>
    <s v="United Kingdom"/>
    <s v="2023-05-29"/>
    <s v="2023-05-29"/>
    <x v="9"/>
    <n v="1682175272"/>
    <d v="2023-04-22T14:54:32"/>
    <n v="1433.42"/>
    <n v="1433.42"/>
    <s v="Newsletter subscriber %"/>
    <s v="Newsletter subscriber "/>
  </r>
  <r>
    <n v="1906"/>
    <s v=" Liam O’Connor "/>
    <s v="Liam O’Connor"/>
    <s v=" Liam O’Connor "/>
    <n v="48"/>
    <n v="48"/>
    <x v="9"/>
    <s v="Ireland"/>
    <s v="2023-05-19T00:00:00Z"/>
    <s v="2023-05-19"/>
    <x v="9"/>
    <n v="1695883632"/>
    <d v="2023-09-28T06:47:12"/>
    <n v="414.72"/>
    <n v="414.72"/>
    <s v="Holiday signup %"/>
    <s v="Holiday signup "/>
  </r>
  <r>
    <n v="1122"/>
    <s v=" Björn Larsson "/>
    <s v="Björn Larsson"/>
    <s v=" Björn Larsson "/>
    <n v="32"/>
    <n v="32"/>
    <x v="3"/>
    <s v="United States"/>
    <s v="March 31 2023"/>
    <s v="2023-03-31"/>
    <x v="6"/>
    <n v="1702127228"/>
    <d v="2023-12-09T13:07:08"/>
    <n v="1258.03"/>
    <n v="1258.03"/>
    <s v="High engagement"/>
    <s v="High engagement"/>
  </r>
  <r>
    <n v="2015"/>
    <s v="Sarah Johnson"/>
    <s v="Sarah Johnson"/>
    <s v="Sarah Johnson"/>
    <n v="36"/>
    <n v="36"/>
    <x v="11"/>
    <s v="Mexico"/>
    <s v="2023-10-18T00:00:00Z"/>
    <s v="2023-10-18"/>
    <x v="3"/>
    <n v="1676124413"/>
    <d v="2023-02-11T14:06:53"/>
    <m/>
    <n v="0"/>
    <s v="Student account"/>
    <s v="Student account"/>
  </r>
  <r>
    <n v="1931"/>
    <s v="Liam O’Connor"/>
    <s v="Liam O’Connor"/>
    <s v="Liam O’Connor"/>
    <n v="26"/>
    <n v="26"/>
    <x v="12"/>
    <s v="South Korea"/>
    <s v="05/20/2023"/>
    <s v="2023-05-20"/>
    <x v="9"/>
    <n v="1699663290"/>
    <d v="2023-11-11T00:41:30"/>
    <n v="177.84"/>
    <n v="177.84"/>
    <s v="Regular shopper"/>
    <s v="Regular shopper"/>
  </r>
  <r>
    <n v="1527"/>
    <s v=" Renée Dupont "/>
    <s v="Renée Dupont"/>
    <s v=" Renée Dupont "/>
    <m/>
    <n v="43"/>
    <x v="1"/>
    <s v="Germany"/>
    <s v="2023-03-31T00:00:00Z"/>
    <s v="2023-03-31"/>
    <x v="6"/>
    <n v="1701251509"/>
    <d v="2023-11-29T09:51:49"/>
    <m/>
    <n v="0"/>
    <s v="High engagement"/>
    <s v="High engagement"/>
  </r>
  <r>
    <n v="2056"/>
    <s v=" Lucas Silva "/>
    <s v="Lucas Silva"/>
    <s v=" Lucas Silva "/>
    <n v="60"/>
    <n v="60"/>
    <x v="0"/>
    <s v="United Kingdom"/>
    <s v="02-09-2023"/>
    <s v="2023-02-09"/>
    <x v="2"/>
    <n v="1703925089"/>
    <d v="2023-12-30T08:31:29"/>
    <m/>
    <n v="0"/>
    <s v="High engagement"/>
    <s v="High engagement"/>
  </r>
  <r>
    <n v="1483"/>
    <s v="Ethan Clark"/>
    <s v="Ethan Clark"/>
    <s v="Ethan Clark"/>
    <n v="37"/>
    <n v="37"/>
    <x v="3"/>
    <s v="United States"/>
    <s v="14-05-2023"/>
    <s v="2023-05-14"/>
    <x v="9"/>
    <n v="1695769456"/>
    <d v="2023-09-26T23:04:16"/>
    <n v="362.09"/>
    <n v="362.09"/>
    <s v="Regular shopper"/>
    <s v="Regular shopper"/>
  </r>
  <r>
    <n v="1629"/>
    <s v="Sarah Johnson"/>
    <s v="Sarah Johnson"/>
    <s v="Sarah Johnson"/>
    <m/>
    <n v="43"/>
    <x v="0"/>
    <s v="United Kingdom"/>
    <s v="24-11-2023"/>
    <s v="2023-11-24"/>
    <x v="1"/>
    <n v="1684856726"/>
    <d v="2023-05-23T15:45:26"/>
    <n v="925.79"/>
    <n v="925.79"/>
    <s v="Frequent buyer ñ"/>
    <s v="Frequent buyer n"/>
  </r>
  <r>
    <n v="1980"/>
    <s v="Carlos García"/>
    <s v="Carlos García"/>
    <s v="Carlos García"/>
    <m/>
    <n v="43"/>
    <x v="9"/>
    <s v="Ireland"/>
    <s v="2023-08-30T00:00:00Z"/>
    <s v="2023-08-30"/>
    <x v="11"/>
    <n v="1699434486"/>
    <d v="2023-11-08T09:08:06"/>
    <n v="999.5"/>
    <n v="999.5"/>
    <s v="VIP client $$$"/>
    <s v="VIP client "/>
  </r>
  <r>
    <n v="1168"/>
    <s v="Ahmed Hassan"/>
    <s v="Ahmed Hassan"/>
    <s v="Ahmed Hassan"/>
    <n v="63"/>
    <n v="63"/>
    <x v="0"/>
    <s v="United Kingdom"/>
    <s v="2023-02-01T00:00:00Z"/>
    <s v="2023-02-01"/>
    <x v="2"/>
    <n v="1702819899"/>
    <d v="2023-12-17T13:31:39"/>
    <n v="763.18"/>
    <n v="763.18"/>
    <s v="Frequent buyer ñ"/>
    <s v="Frequent buyer n"/>
  </r>
  <r>
    <n v="1150"/>
    <s v="Maria Lopez"/>
    <s v="Maria Lopez"/>
    <s v="Maria Lopez"/>
    <n v="22"/>
    <n v="22"/>
    <x v="3"/>
    <s v="United States"/>
    <s v="February 05 2023"/>
    <s v="2023-02-05"/>
    <x v="2"/>
    <n v="1673588845"/>
    <d v="2023-01-13T05:47:25"/>
    <n v="437.77"/>
    <n v="437.77"/>
    <s v="Frequent buyer ñ"/>
    <s v="Frequent buyer n"/>
  </r>
  <r>
    <n v="1861"/>
    <s v="Olivia Wilson"/>
    <s v="Olivia Wilson"/>
    <s v="Olivia Wilson"/>
    <m/>
    <n v="43"/>
    <x v="13"/>
    <s v="China"/>
    <s v="2023-02-11T00:00:00Z"/>
    <s v="2023-02-11"/>
    <x v="2"/>
    <n v="1676986397"/>
    <d v="2023-02-21T13:33:17"/>
    <m/>
    <n v="0"/>
    <s v="Prefers email %"/>
    <s v="Prefers email "/>
  </r>
  <r>
    <n v="1366"/>
    <s v="Chloe Dubois"/>
    <s v="Chloe Dubois"/>
    <s v="Chloe Dubois"/>
    <n v="26"/>
    <n v="26"/>
    <x v="3"/>
    <s v="United States"/>
    <s v="12-01-2023"/>
    <s v="2023-12-01"/>
    <x v="0"/>
    <n v="1688059832"/>
    <d v="2023-06-29T17:30:32"/>
    <m/>
    <n v="0"/>
    <s v="Corporate account"/>
    <s v="Corporate account"/>
  </r>
  <r>
    <n v="1777"/>
    <s v=" Emily Davis "/>
    <s v="Emily Davis"/>
    <s v=" Emily Davis "/>
    <m/>
    <n v="43"/>
    <x v="1"/>
    <s v="Germany"/>
    <s v="2023-02-27"/>
    <s v="2023-02-27"/>
    <x v="2"/>
    <n v="1699685580"/>
    <d v="2023-11-11T06:53:00"/>
    <n v="993.69"/>
    <n v="993.69"/>
    <s v="VIP client $$$"/>
    <s v="VIP client "/>
  </r>
  <r>
    <n v="1423"/>
    <s v=" Li Wei "/>
    <s v="Li Wei"/>
    <s v=" Li Wei "/>
    <n v="46"/>
    <n v="46"/>
    <x v="3"/>
    <s v="United States"/>
    <s v="2023-05-06"/>
    <s v="2023-05-06"/>
    <x v="9"/>
    <n v="1686021785"/>
    <d v="2023-06-06T03:23:05"/>
    <n v="664.05"/>
    <n v="664.05"/>
    <s v="Great customer $$$"/>
    <s v="Great customer "/>
  </r>
  <r>
    <n v="1287"/>
    <s v="Ahmed Hassan"/>
    <s v="Ahmed Hassan"/>
    <s v="Ahmed Hassan"/>
    <n v="64"/>
    <n v="64"/>
    <x v="2"/>
    <s v="Japan"/>
    <s v="2023-10-23T00:00:00Z"/>
    <s v="2023-10-23"/>
    <x v="3"/>
    <n v="1698446080"/>
    <d v="2023-10-27T22:34:40"/>
    <m/>
    <n v="0"/>
    <s v="VIP client $$$"/>
    <s v="VIP client "/>
  </r>
  <r>
    <n v="1619"/>
    <s v="Carlos García"/>
    <s v="Carlos García"/>
    <s v="Carlos García"/>
    <m/>
    <n v="43"/>
    <x v="11"/>
    <s v="Mexico"/>
    <s v="2023-05-21"/>
    <s v="2023-05-21"/>
    <x v="9"/>
    <n v="1691204360"/>
    <d v="2023-08-05T02:59:20"/>
    <n v="1423.3"/>
    <n v="1423.3"/>
    <s v="High engagement"/>
    <s v="High engagement"/>
  </r>
  <r>
    <n v="2139"/>
    <s v=" Isabella Martinez "/>
    <s v="Isabella Martinez"/>
    <s v=" Isabella Martinez "/>
    <n v="59"/>
    <n v="59"/>
    <x v="13"/>
    <s v="China"/>
    <s v="26-09-2023"/>
    <s v="2023-09-26"/>
    <x v="5"/>
    <n v="1695888233"/>
    <d v="2023-09-28T08:03:53"/>
    <n v="630.32000000000005"/>
    <n v="630.32000000000005"/>
    <s v="Student account"/>
    <s v="Student account"/>
  </r>
  <r>
    <n v="1771"/>
    <s v="Sarah Johnson"/>
    <s v="Sarah Johnson"/>
    <s v="Sarah Johnson"/>
    <n v="48"/>
    <n v="48"/>
    <x v="11"/>
    <s v="Mexico"/>
    <s v="12/29/2023"/>
    <s v="2023-12-29"/>
    <x v="0"/>
    <n v="1699561361"/>
    <d v="2023-11-09T20:22:41"/>
    <n v="699.91"/>
    <n v="699.91"/>
    <s v="Corporate account"/>
    <s v="Corporate account"/>
  </r>
  <r>
    <n v="1846"/>
    <s v="Sofia Rossi"/>
    <s v="Sofia Rossi"/>
    <s v="Sofia Rossi"/>
    <n v="26"/>
    <n v="26"/>
    <x v="7"/>
    <s v="Brazil"/>
    <s v="15-04-2023"/>
    <s v="2023-04-15"/>
    <x v="4"/>
    <n v="1694223847"/>
    <d v="2023-09-09T01:44:07"/>
    <m/>
    <n v="0"/>
    <s v="Newsletter subscriber %"/>
    <s v="Newsletter subscriber "/>
  </r>
  <r>
    <n v="1190"/>
    <s v="Chloe Dubois"/>
    <s v="Chloe Dubois"/>
    <s v="Chloe Dubois"/>
    <m/>
    <n v="43"/>
    <x v="13"/>
    <s v="China"/>
    <s v="2023-12-11T00:00:00Z"/>
    <s v="2023-12-11"/>
    <x v="0"/>
    <n v="1692754706"/>
    <d v="2023-08-23T01:38:26"/>
    <n v="68.930000000000007"/>
    <n v="68.930000000000007"/>
    <s v="VIP client $$$"/>
    <s v="VIP client "/>
  </r>
  <r>
    <n v="2145"/>
    <s v="David Brown"/>
    <s v="David Brown"/>
    <s v="David Brown"/>
    <n v="39"/>
    <n v="39"/>
    <x v="1"/>
    <s v="Germany"/>
    <s v="2023-04-08"/>
    <s v="2023-04-08"/>
    <x v="4"/>
    <n v="1697585108"/>
    <d v="2023-10-17T23:25:08"/>
    <m/>
    <n v="0"/>
    <s v="VIP client $$$"/>
    <s v="VIP client "/>
  </r>
  <r>
    <n v="1419"/>
    <s v="Noah Martin"/>
    <s v="Noah Martin"/>
    <s v="Noah Martin"/>
    <m/>
    <n v="43"/>
    <x v="13"/>
    <s v="China"/>
    <s v="2023-08-27T00:00:00Z"/>
    <s v="2023-08-27"/>
    <x v="11"/>
    <n v="1694291476"/>
    <d v="2023-09-09T20:31:16"/>
    <m/>
    <n v="0"/>
    <s v="Newsletter subscriber %"/>
    <s v="Newsletter subscriber "/>
  </r>
  <r>
    <n v="2051"/>
    <s v="Isabella Martinez"/>
    <s v="Isabella Martinez"/>
    <s v="Isabella Martinez"/>
    <m/>
    <n v="43"/>
    <x v="1"/>
    <s v="Germany"/>
    <s v="09-07-2023"/>
    <s v="2023-09-07"/>
    <x v="5"/>
    <n v="1686413191"/>
    <d v="2023-06-10T16:06:31"/>
    <n v="78.12"/>
    <n v="78.12"/>
    <s v="Frequent buyer ñ"/>
    <s v="Frequent buyer n"/>
  </r>
  <r>
    <n v="1504"/>
    <s v="Isabella Martinez"/>
    <s v="Isabella Martinez"/>
    <s v="Isabella Martinez"/>
    <m/>
    <n v="43"/>
    <x v="8"/>
    <s v="Egypt"/>
    <s v="November 25 2023"/>
    <s v="2023-11-25"/>
    <x v="1"/>
    <n v="1687986855"/>
    <d v="2023-06-28T21:14:15"/>
    <m/>
    <n v="0"/>
    <s v="Frequent buyer ñ"/>
    <s v="Frequent buyer n"/>
  </r>
  <r>
    <n v="1990"/>
    <s v="Zoë Kravitz"/>
    <s v="Zoë Kravitz"/>
    <s v="Zoë Kravitz"/>
    <n v="52"/>
    <n v="52"/>
    <x v="5"/>
    <s v="UAE"/>
    <s v="2023-01-07"/>
    <s v="2023-01-07"/>
    <x v="7"/>
    <n v="1690288308"/>
    <d v="2023-07-25T12:31:48"/>
    <m/>
    <n v="0"/>
    <s v="Great customer $$$"/>
    <s v="Great customer "/>
  </r>
  <r>
    <n v="2159"/>
    <s v="Anne Müller"/>
    <s v="Anne Müller"/>
    <s v="Anne Müller"/>
    <n v="20"/>
    <n v="20"/>
    <x v="8"/>
    <s v="Egypt"/>
    <s v="2023-05-19"/>
    <s v="2023-05-19"/>
    <x v="9"/>
    <n v="1703533639"/>
    <d v="2023-12-25T19:47:19"/>
    <m/>
    <n v="0"/>
    <s v="Corporate account"/>
    <s v="Corporate account"/>
  </r>
  <r>
    <n v="2155"/>
    <s v=" Zoë Kravitz "/>
    <s v="Zoë Kravitz"/>
    <s v=" Zoë Kravitz "/>
    <n v="38"/>
    <n v="38"/>
    <x v="0"/>
    <s v="United Kingdom"/>
    <s v="December 31 2023"/>
    <s v="2023-12-31"/>
    <x v="0"/>
    <n v="1703691871"/>
    <d v="2023-12-27T15:44:31"/>
    <n v="124.64"/>
    <n v="124.64"/>
    <s v="Holiday signup %"/>
    <s v="Holiday signup "/>
  </r>
  <r>
    <n v="1493"/>
    <s v="Daniel Kim"/>
    <s v="Daniel Kim"/>
    <s v="Daniel Kim"/>
    <n v="61"/>
    <n v="61"/>
    <x v="2"/>
    <s v="Japan"/>
    <s v="07/16/2023"/>
    <s v="2023-07-16"/>
    <x v="8"/>
    <n v="1699048714"/>
    <d v="2023-11-03T21:58:34"/>
    <n v="1482.83"/>
    <n v="1482.83"/>
    <s v="Corporate account"/>
    <s v="Corporate account"/>
  </r>
  <r>
    <n v="1709"/>
    <s v=" Maria Lopez "/>
    <s v="Maria Lopez"/>
    <s v=" Maria Lopez "/>
    <m/>
    <n v="43"/>
    <x v="13"/>
    <s v="China"/>
    <s v="2023-06-17"/>
    <s v="2023-06-17"/>
    <x v="10"/>
    <n v="1693801635"/>
    <d v="2023-09-04T04:27:15"/>
    <m/>
    <n v="0"/>
    <s v="Regular shopper"/>
    <s v="Regular shopper"/>
  </r>
  <r>
    <n v="1468"/>
    <s v="Olivia Wilson"/>
    <s v="Olivia Wilson"/>
    <s v="Olivia Wilson"/>
    <n v="42"/>
    <n v="42"/>
    <x v="13"/>
    <s v="China"/>
    <s v="2023-02-13T00:00:00Z"/>
    <s v="2023-02-13"/>
    <x v="2"/>
    <n v="1682435290"/>
    <d v="2023-04-25T15:08:10"/>
    <n v="1199.0999999999999"/>
    <n v="1199.0999999999999"/>
    <s v="Prefers email %"/>
    <s v="Prefers email "/>
  </r>
  <r>
    <n v="1549"/>
    <s v="Carlos García"/>
    <s v="Carlos García"/>
    <s v="Carlos García"/>
    <n v="27"/>
    <n v="27"/>
    <x v="13"/>
    <s v="China"/>
    <s v="12-06-2023"/>
    <s v="2023-12-06"/>
    <x v="0"/>
    <n v="1676099255"/>
    <d v="2023-02-11T07:07:35"/>
    <m/>
    <n v="0"/>
    <s v="Regular shopper"/>
    <s v="Regular shopper"/>
  </r>
  <r>
    <n v="1738"/>
    <s v=" Björn Larsson "/>
    <s v="Björn Larsson"/>
    <s v=" Björn Larsson "/>
    <n v="26"/>
    <n v="26"/>
    <x v="5"/>
    <s v="UAE"/>
    <s v="2023-08-18T00:00:00Z"/>
    <s v="2023-08-18"/>
    <x v="11"/>
    <n v="1691137985"/>
    <d v="2023-08-04T08:33:05"/>
    <n v="773.54"/>
    <n v="773.54"/>
    <s v="Great customer $$$"/>
    <s v="Great customer "/>
  </r>
  <r>
    <n v="1184"/>
    <s v="Olivia Wilson"/>
    <s v="Olivia Wilson"/>
    <s v="Olivia Wilson"/>
    <m/>
    <n v="43"/>
    <x v="13"/>
    <s v="China"/>
    <s v="07-01-2023"/>
    <s v="2023-07-01"/>
    <x v="8"/>
    <n v="1686409161"/>
    <d v="2023-06-10T14:59:21"/>
    <n v="587.82000000000005"/>
    <n v="587.82000000000005"/>
    <s v="Corporate account"/>
    <s v="Corporate account"/>
  </r>
  <r>
    <n v="1498"/>
    <s v="Daniel Kim"/>
    <s v="Daniel Kim"/>
    <s v="Daniel Kim"/>
    <n v="61"/>
    <n v="61"/>
    <x v="0"/>
    <s v="United Kingdom"/>
    <s v="18-05-2023"/>
    <s v="2023-05-18"/>
    <x v="9"/>
    <n v="1681530237"/>
    <d v="2023-04-15T03:43:57"/>
    <n v="744.75"/>
    <n v="744.75"/>
    <s v="Frequent buyer ñ"/>
    <s v="Frequent buyer n"/>
  </r>
  <r>
    <n v="1278"/>
    <s v=" Fatima Ali "/>
    <s v="Fatima Ali"/>
    <s v=" Fatima Ali "/>
    <n v="39"/>
    <n v="39"/>
    <x v="13"/>
    <s v="China"/>
    <s v="June 18 2023"/>
    <s v="2023-06-18"/>
    <x v="10"/>
    <n v="1683755883"/>
    <d v="2023-05-10T21:58:03"/>
    <n v="651.62"/>
    <n v="651.62"/>
    <s v="Student account"/>
    <s v="Student account"/>
  </r>
  <r>
    <n v="1657"/>
    <s v="Mia Thompson"/>
    <s v="Mia Thompson"/>
    <s v="Mia Thompson"/>
    <m/>
    <n v="43"/>
    <x v="6"/>
    <s v="France"/>
    <s v="23-07-2023"/>
    <s v="2023-07-23"/>
    <x v="8"/>
    <n v="1682303377"/>
    <d v="2023-04-24T02:29:37"/>
    <m/>
    <n v="0"/>
    <s v="Holiday signup %"/>
    <s v="Holiday signup "/>
  </r>
  <r>
    <n v="1497"/>
    <s v="Lucas Silva"/>
    <s v="Lucas Silva"/>
    <s v="Lucas Silva"/>
    <n v="43"/>
    <n v="43"/>
    <x v="1"/>
    <s v="Germany"/>
    <s v="2023-10-31T00:00:00Z"/>
    <s v="2023-10-31"/>
    <x v="3"/>
    <n v="1678561355"/>
    <d v="2023-03-11T19:02:35"/>
    <n v="1025.75"/>
    <n v="1025.75"/>
    <s v="Regular shopper"/>
    <s v="Regular shopper"/>
  </r>
  <r>
    <n v="1430"/>
    <s v="Ethan Clark"/>
    <s v="Ethan Clark"/>
    <s v="Ethan Clark"/>
    <m/>
    <n v="43"/>
    <x v="8"/>
    <s v="Egypt"/>
    <s v="13-03-2023"/>
    <s v="2023-03-13"/>
    <x v="6"/>
    <n v="1680644882"/>
    <d v="2023-04-04T21:48:02"/>
    <n v="386.5"/>
    <n v="386.5"/>
    <s v="High engagement"/>
    <s v="High engagement"/>
  </r>
  <r>
    <n v="1773"/>
    <s v="Li Wei"/>
    <s v="Li Wei"/>
    <s v="Li Wei"/>
    <n v="48"/>
    <n v="48"/>
    <x v="13"/>
    <s v="China"/>
    <s v="2023-10-01T00:00:00Z"/>
    <s v="2023-10-01"/>
    <x v="3"/>
    <n v="1703511375"/>
    <d v="2023-12-25T13:36:15"/>
    <m/>
    <n v="0"/>
    <s v="Corporate account"/>
    <s v="Corporate account"/>
  </r>
  <r>
    <n v="2063"/>
    <s v="Chloe Dubois"/>
    <s v="Chloe Dubois"/>
    <s v="Chloe Dubois"/>
    <m/>
    <n v="43"/>
    <x v="14"/>
    <s v="Italy"/>
    <s v="July 20 2023"/>
    <s v="2023-07-20"/>
    <x v="8"/>
    <n v="1698439504"/>
    <d v="2023-10-27T20:45:04"/>
    <n v="1022.54"/>
    <n v="1022.54"/>
    <s v="Newsletter subscriber %"/>
    <s v="Newsletter subscriber "/>
  </r>
  <r>
    <n v="1051"/>
    <s v=" Isabella Martinez "/>
    <s v="Isabella Martinez"/>
    <s v=" Isabella Martinez "/>
    <n v="44"/>
    <n v="44"/>
    <x v="0"/>
    <s v="United Kingdom"/>
    <s v="28-06-2023"/>
    <s v="2023-06-28"/>
    <x v="10"/>
    <n v="1684035407"/>
    <d v="2023-05-14T03:36:47"/>
    <n v="688.45"/>
    <n v="688.45"/>
    <s v="Corporate account"/>
    <s v="Corporate account"/>
  </r>
  <r>
    <n v="1703"/>
    <s v=" Liam O’Connor "/>
    <s v="Liam O’Connor"/>
    <s v=" Liam O’Connor "/>
    <n v="28"/>
    <n v="28"/>
    <x v="10"/>
    <s v="Sweden"/>
    <s v="2023-03-31T00:00:00Z"/>
    <s v="2023-03-31"/>
    <x v="6"/>
    <n v="1677897262"/>
    <d v="2023-03-04T02:34:22"/>
    <m/>
    <n v="0"/>
    <s v="Regular shopper"/>
    <s v="Regular shopper"/>
  </r>
  <r>
    <n v="1475"/>
    <s v="Noah Martin"/>
    <s v="Noah Martin"/>
    <s v="Noah Martin"/>
    <n v="58"/>
    <n v="58"/>
    <x v="5"/>
    <s v="UAE"/>
    <s v="2023-07-22"/>
    <s v="2023-07-22"/>
    <x v="8"/>
    <n v="1697266647"/>
    <d v="2023-10-14T06:57:27"/>
    <n v="925.02"/>
    <n v="925.02"/>
    <s v="Regular shopper"/>
    <s v="Regular shopper"/>
  </r>
  <r>
    <n v="1880"/>
    <s v=" Noah Martin "/>
    <s v="Noah Martin"/>
    <s v=" Noah Martin "/>
    <m/>
    <n v="43"/>
    <x v="3"/>
    <s v="United States"/>
    <s v="2023-10-23"/>
    <s v="2023-10-23"/>
    <x v="3"/>
    <n v="1699350847"/>
    <d v="2023-11-07T09:54:07"/>
    <n v="1309.25"/>
    <n v="1309.25"/>
    <s v="Newsletter subscriber %"/>
    <s v="Newsletter subscriber "/>
  </r>
  <r>
    <n v="1668"/>
    <s v="David Brown"/>
    <s v="David Brown"/>
    <s v="David Brown"/>
    <m/>
    <n v="43"/>
    <x v="10"/>
    <s v="Sweden"/>
    <s v="24-11-2023"/>
    <s v="2023-11-24"/>
    <x v="1"/>
    <n v="1692555017"/>
    <d v="2023-08-20T18:10:17"/>
    <m/>
    <n v="0"/>
    <s v="Holiday signup %"/>
    <s v="Holiday signup "/>
  </r>
  <r>
    <n v="1234"/>
    <s v="Olivia Wilson"/>
    <s v="Olivia Wilson"/>
    <s v="Olivia Wilson"/>
    <n v="47"/>
    <n v="47"/>
    <x v="11"/>
    <s v="Mexico"/>
    <s v="2023-11-11T00:00:00Z"/>
    <s v="2023-11-11"/>
    <x v="1"/>
    <n v="1675367804"/>
    <d v="2023-02-02T19:56:44"/>
    <m/>
    <n v="0"/>
    <s v="Prefers email %"/>
    <s v="Prefers email "/>
  </r>
  <r>
    <n v="1489"/>
    <s v=" Fatima Ali "/>
    <s v="Fatima Ali"/>
    <s v=" Fatima Ali "/>
    <n v="41"/>
    <n v="41"/>
    <x v="10"/>
    <s v="Sweden"/>
    <s v="July 18 2023"/>
    <s v="2023-07-18"/>
    <x v="8"/>
    <n v="1692536729"/>
    <d v="2023-08-20T13:05:29"/>
    <m/>
    <n v="0"/>
    <s v="High engagement"/>
    <s v="High engagement"/>
  </r>
  <r>
    <n v="1381"/>
    <s v="Isabella Martinez"/>
    <s v="Isabella Martinez"/>
    <s v="Isabella Martinez"/>
    <n v="62"/>
    <n v="62"/>
    <x v="9"/>
    <s v="Ireland"/>
    <s v="March 27 2023"/>
    <s v="2023-03-27"/>
    <x v="6"/>
    <n v="1682215686"/>
    <d v="2023-04-23T02:08:06"/>
    <m/>
    <n v="0"/>
    <s v="Regular shopper"/>
    <s v="Regular shopper"/>
  </r>
  <r>
    <n v="1110"/>
    <s v="Olivia Wilson"/>
    <s v="Olivia Wilson"/>
    <s v="Olivia Wilson"/>
    <n v="49"/>
    <n v="49"/>
    <x v="13"/>
    <s v="China"/>
    <s v="2023-10-15T00:00:00Z"/>
    <s v="2023-10-15"/>
    <x v="3"/>
    <n v="1694437384"/>
    <d v="2023-09-11T13:03:04"/>
    <m/>
    <n v="0"/>
    <s v="High engagement"/>
    <s v="High engagement"/>
  </r>
  <r>
    <n v="1910"/>
    <s v=" Isabella Martinez "/>
    <s v="Isabella Martinez"/>
    <s v=" Isabella Martinez "/>
    <n v="54"/>
    <n v="54"/>
    <x v="11"/>
    <s v="Mexico"/>
    <s v="17-01-2023"/>
    <s v="2023-01-17"/>
    <x v="7"/>
    <n v="1680068493"/>
    <d v="2023-03-29T05:41:33"/>
    <n v="811.04"/>
    <n v="811.04"/>
    <s v="Regular shopper"/>
    <s v="Regular shopper"/>
  </r>
  <r>
    <n v="1086"/>
    <s v="Björn Larsson"/>
    <s v="Björn Larsson"/>
    <s v="Björn Larsson"/>
    <m/>
    <n v="43"/>
    <x v="0"/>
    <s v="United Kingdom"/>
    <s v="12/01/2023"/>
    <s v="2023-12-01"/>
    <x v="0"/>
    <n v="1682513454"/>
    <d v="2023-04-26T12:50:54"/>
    <n v="1313.47"/>
    <n v="1313.47"/>
    <s v="Regular shopper"/>
    <s v="Regular shopper"/>
  </r>
  <r>
    <n v="1539"/>
    <s v="Olivia Wilson"/>
    <s v="Olivia Wilson"/>
    <s v="Olivia Wilson"/>
    <n v="23"/>
    <n v="23"/>
    <x v="4"/>
    <s v="Spain"/>
    <s v="2023-04-18T00:00:00Z"/>
    <s v="2023-04-18"/>
    <x v="4"/>
    <n v="1695647486"/>
    <d v="2023-09-25T13:11:26"/>
    <m/>
    <n v="0"/>
    <s v="Frequent buyer ñ"/>
    <s v="Frequent buyer n"/>
  </r>
  <r>
    <n v="1286"/>
    <s v="David Brown"/>
    <s v="David Brown"/>
    <s v="David Brown"/>
    <m/>
    <n v="43"/>
    <x v="9"/>
    <s v="Ireland"/>
    <s v="2023-05-24T00:00:00Z"/>
    <s v="2023-05-24"/>
    <x v="9"/>
    <n v="1690602072"/>
    <d v="2023-07-29T03:41:12"/>
    <m/>
    <n v="0"/>
    <s v="Student account"/>
    <s v="Student account"/>
  </r>
  <r>
    <n v="2173"/>
    <s v="Akira Tanaka"/>
    <s v="Akira Tanaka"/>
    <s v="Akira Tanaka"/>
    <n v="50"/>
    <n v="50"/>
    <x v="0"/>
    <s v="United Kingdom"/>
    <s v="2023-07-30"/>
    <s v="2023-07-30"/>
    <x v="8"/>
    <n v="1681829433"/>
    <d v="2023-04-18T14:50:33"/>
    <n v="1301.9000000000001"/>
    <n v="1301.9000000000001"/>
    <s v="Frequent buyer ñ"/>
    <s v="Frequent buyer n"/>
  </r>
  <r>
    <n v="1006"/>
    <s v="Björn Larsson"/>
    <s v="Björn Larsson"/>
    <s v="Björn Larsson"/>
    <m/>
    <n v="43"/>
    <x v="14"/>
    <s v="Italy"/>
    <s v="2023-02-02T00:00:00Z"/>
    <s v="2023-02-02"/>
    <x v="2"/>
    <n v="1685869130"/>
    <d v="2023-06-04T08:58:50"/>
    <m/>
    <n v="0"/>
    <s v="VIP client $$$"/>
    <s v="VIP client "/>
  </r>
  <r>
    <n v="2014"/>
    <s v="Akira Tanaka"/>
    <s v="Akira Tanaka"/>
    <s v="Akira Tanaka"/>
    <n v="39"/>
    <n v="39"/>
    <x v="0"/>
    <s v="United Kingdom"/>
    <s v="October 17 2023"/>
    <s v="2023-10-17"/>
    <x v="3"/>
    <n v="1698975081"/>
    <d v="2023-11-03T01:31:21"/>
    <n v="522.16999999999996"/>
    <n v="522.16999999999996"/>
    <s v="Great customer $$$"/>
    <s v="Great customer "/>
  </r>
  <r>
    <n v="1204"/>
    <s v="Liam O’Connor"/>
    <s v="Liam O’Connor"/>
    <s v="Liam O’Connor"/>
    <n v="47"/>
    <n v="47"/>
    <x v="6"/>
    <s v="France"/>
    <s v="August 14 2023"/>
    <s v="2023-08-14"/>
    <x v="11"/>
    <n v="1672546680"/>
    <d v="2023-01-01T04:18:00"/>
    <m/>
    <n v="0"/>
    <s v="VIP client $$$"/>
    <s v="VIP client "/>
  </r>
  <r>
    <n v="1812"/>
    <s v="Liam O’Connor"/>
    <s v="Liam O’Connor"/>
    <s v="Liam O’Connor"/>
    <m/>
    <n v="43"/>
    <x v="3"/>
    <s v="United States"/>
    <s v="2023-12-27"/>
    <s v="2023-12-27"/>
    <x v="0"/>
    <n v="1672560450"/>
    <d v="2023-01-01T08:07:30"/>
    <n v="328"/>
    <n v="328"/>
    <s v="Frequent buyer ñ"/>
    <s v="Frequent buyer n"/>
  </r>
  <r>
    <n v="1464"/>
    <s v="Ahmed Hassan"/>
    <s v="Ahmed Hassan"/>
    <s v="Ahmed Hassan"/>
    <n v="18"/>
    <n v="18"/>
    <x v="2"/>
    <s v="Japan"/>
    <s v="March 03 2023"/>
    <s v="2023-03-03"/>
    <x v="6"/>
    <n v="1695811816"/>
    <d v="2023-09-27T10:50:16"/>
    <n v="206.94"/>
    <n v="206.94"/>
    <s v="VIP client $$$"/>
    <s v="VIP client "/>
  </r>
  <r>
    <n v="1907"/>
    <s v=" David Brown "/>
    <s v="David Brown"/>
    <s v=" David Brown "/>
    <n v="24"/>
    <n v="24"/>
    <x v="13"/>
    <s v="China"/>
    <s v="June 29 2023"/>
    <s v="2023-06-29"/>
    <x v="10"/>
    <n v="1683076991"/>
    <d v="2023-05-03T01:23:11"/>
    <n v="1188.7"/>
    <n v="1188.7"/>
    <s v="Student account"/>
    <s v="Student account"/>
  </r>
  <r>
    <n v="1173"/>
    <s v="Emily Davis"/>
    <s v="Emily Davis"/>
    <s v="Emily Davis"/>
    <n v="64"/>
    <n v="64"/>
    <x v="11"/>
    <s v="Mexico"/>
    <s v="2023-12-20"/>
    <s v="2023-12-20"/>
    <x v="0"/>
    <n v="1700974537"/>
    <d v="2023-11-26T04:55:37"/>
    <m/>
    <n v="0"/>
    <s v="VIP client $$$"/>
    <s v="VIP client "/>
  </r>
  <r>
    <n v="2061"/>
    <s v="Mia Thompson"/>
    <s v="Mia Thompson"/>
    <s v="Mia Thompson"/>
    <m/>
    <n v="43"/>
    <x v="3"/>
    <s v="United States"/>
    <s v="May 03 2023"/>
    <s v="2023-05-03"/>
    <x v="9"/>
    <n v="1685472171"/>
    <d v="2023-05-30T18:42:51"/>
    <m/>
    <n v="0"/>
    <s v="Holiday signup %"/>
    <s v="Holiday signup "/>
  </r>
  <r>
    <n v="1824"/>
    <s v="Li Wei"/>
    <s v="Li Wei"/>
    <s v="Li Wei"/>
    <n v="52"/>
    <n v="52"/>
    <x v="7"/>
    <s v="Brazil"/>
    <s v="12-02-2023"/>
    <s v="2023-12-02"/>
    <x v="0"/>
    <n v="1675175523"/>
    <d v="2023-01-31T14:32:03"/>
    <n v="771.84"/>
    <n v="771.84"/>
    <s v="Frequent buyer ñ"/>
    <s v="Frequent buyer n"/>
  </r>
  <r>
    <n v="1501"/>
    <s v="Li Wei"/>
    <s v="Li Wei"/>
    <s v="Li Wei"/>
    <n v="47"/>
    <n v="47"/>
    <x v="3"/>
    <s v="United States"/>
    <s v="06/08/2023"/>
    <s v="2023-06-08"/>
    <x v="10"/>
    <n v="1676531842"/>
    <d v="2023-02-16T07:17:22"/>
    <n v="28.87"/>
    <n v="28.87"/>
    <s v="Great customer $$$"/>
    <s v="Great customer "/>
  </r>
  <r>
    <n v="1336"/>
    <s v="Isabella Martinez"/>
    <s v="Isabella Martinez"/>
    <s v="Isabella Martinez"/>
    <n v="51"/>
    <n v="51"/>
    <x v="7"/>
    <s v="Brazil"/>
    <s v="27-03-2023"/>
    <s v="2023-03-27"/>
    <x v="6"/>
    <n v="1676783084"/>
    <d v="2023-02-19T05:04:44"/>
    <m/>
    <n v="0"/>
    <s v="Prefers email %"/>
    <s v="Prefers email "/>
  </r>
  <r>
    <n v="1061"/>
    <s v="Lucas Silva"/>
    <s v="Lucas Silva"/>
    <s v="Lucas Silva"/>
    <n v="35"/>
    <n v="35"/>
    <x v="7"/>
    <s v="Brazil"/>
    <s v="2023-12-31T00:00:00Z"/>
    <s v="2023-12-31"/>
    <x v="0"/>
    <n v="1693580507"/>
    <d v="2023-09-01T15:01:47"/>
    <m/>
    <n v="0"/>
    <s v="Corporate account"/>
    <s v="Corporate account"/>
  </r>
  <r>
    <n v="1859"/>
    <s v="Emily Davis"/>
    <s v="Emily Davis"/>
    <s v="Emily Davis"/>
    <m/>
    <n v="43"/>
    <x v="7"/>
    <s v="Brazil"/>
    <s v="2023-02-09T00:00:00Z"/>
    <s v="2023-02-09"/>
    <x v="2"/>
    <n v="1685033366"/>
    <d v="2023-05-25T16:49:26"/>
    <n v="187.91"/>
    <n v="187.91"/>
    <s v="Frequent buyer ñ"/>
    <s v="Frequent buyer n"/>
  </r>
  <r>
    <n v="1458"/>
    <s v="Ahmed Hassan"/>
    <s v="Ahmed Hassan"/>
    <s v="Ahmed Hassan"/>
    <m/>
    <n v="43"/>
    <x v="11"/>
    <s v="Mexico"/>
    <s v="09-06-2023"/>
    <s v="2023-09-06"/>
    <x v="5"/>
    <n v="1675422617"/>
    <d v="2023-02-03T11:10:17"/>
    <n v="834.11"/>
    <n v="834.11"/>
    <s v="Newsletter subscriber %"/>
    <s v="Newsletter subscriber "/>
  </r>
  <r>
    <n v="1411"/>
    <s v="Fatima Ali"/>
    <s v="Fatima Ali"/>
    <s v="Fatima Ali"/>
    <n v="65"/>
    <n v="65"/>
    <x v="4"/>
    <s v="Spain"/>
    <s v="26-08-2023"/>
    <s v="2023-08-26"/>
    <x v="11"/>
    <n v="1692377853"/>
    <d v="2023-08-18T16:57:33"/>
    <n v="1458.07"/>
    <n v="1458.07"/>
    <s v="Corporate account"/>
    <s v="Corporate account"/>
  </r>
  <r>
    <n v="1503"/>
    <s v=" Carlos García "/>
    <s v="Carlos García"/>
    <s v=" Carlos García "/>
    <n v="44"/>
    <n v="44"/>
    <x v="9"/>
    <s v="Ireland"/>
    <s v="2023-06-27"/>
    <s v="2023-06-27"/>
    <x v="10"/>
    <n v="1683765317"/>
    <d v="2023-05-11T00:35:17"/>
    <m/>
    <n v="0"/>
    <s v="Student account"/>
    <s v="Student account"/>
  </r>
  <r>
    <n v="1213"/>
    <s v="David Brown"/>
    <s v="David Brown"/>
    <s v="David Brown"/>
    <m/>
    <n v="43"/>
    <x v="3"/>
    <s v="United States"/>
    <s v="14-03-2023"/>
    <s v="2023-03-14"/>
    <x v="6"/>
    <n v="1675645456"/>
    <d v="2023-02-06T01:04:16"/>
    <n v="75.41"/>
    <n v="75.41"/>
    <s v="Corporate account"/>
    <s v="Corporate account"/>
  </r>
  <r>
    <n v="2163"/>
    <s v="Maria Lopez"/>
    <s v="Maria Lopez"/>
    <s v="Maria Lopez"/>
    <m/>
    <n v="43"/>
    <x v="7"/>
    <s v="Brazil"/>
    <s v="June 11 2023"/>
    <s v="2023-06-11"/>
    <x v="10"/>
    <n v="1696036449"/>
    <d v="2023-09-30T01:14:09"/>
    <m/>
    <n v="0"/>
    <s v="Newsletter subscriber %"/>
    <s v="Newsletter subscriber "/>
  </r>
  <r>
    <n v="1928"/>
    <s v=" Akira Tanaka "/>
    <s v="Akira Tanaka"/>
    <s v=" Akira Tanaka "/>
    <n v="26"/>
    <n v="26"/>
    <x v="0"/>
    <s v="United Kingdom"/>
    <s v="2023-03-21"/>
    <s v="2023-03-21"/>
    <x v="6"/>
    <n v="1678039509"/>
    <d v="2023-03-05T18:05:09"/>
    <m/>
    <n v="0"/>
    <s v="High engagement"/>
    <s v="High engagement"/>
  </r>
  <r>
    <n v="1248"/>
    <s v="Chloe Dubois"/>
    <s v="Chloe Dubois"/>
    <s v="Chloe Dubois"/>
    <m/>
    <n v="43"/>
    <x v="12"/>
    <s v="South Korea"/>
    <s v="2023-05-16"/>
    <s v="2023-05-16"/>
    <x v="9"/>
    <n v="1675558021"/>
    <d v="2023-02-05T00:47:01"/>
    <m/>
    <n v="0"/>
    <s v="Holiday signup %"/>
    <s v="Holiday signup "/>
  </r>
  <r>
    <n v="1083"/>
    <s v="David Brown"/>
    <s v="David Brown"/>
    <s v="David Brown"/>
    <n v="38"/>
    <n v="38"/>
    <x v="4"/>
    <s v="Spain"/>
    <s v="July 02 2023"/>
    <s v="2023-07-02"/>
    <x v="8"/>
    <n v="1689752847"/>
    <d v="2023-07-19T07:47:27"/>
    <m/>
    <n v="0"/>
    <s v="Student account"/>
    <s v="Student account"/>
  </r>
  <r>
    <n v="1357"/>
    <s v="John Smith"/>
    <s v="John Smith"/>
    <s v="John Smith"/>
    <n v="53"/>
    <n v="53"/>
    <x v="9"/>
    <s v="Ireland"/>
    <s v="2023-05-08"/>
    <s v="2023-05-08"/>
    <x v="9"/>
    <n v="1688027598"/>
    <d v="2023-06-29T08:33:18"/>
    <n v="161.84"/>
    <n v="161.84"/>
    <s v="Prefers email %"/>
    <s v="Prefers email "/>
  </r>
  <r>
    <n v="1025"/>
    <s v="Maria Lopez"/>
    <s v="Maria Lopez"/>
    <s v="Maria Lopez"/>
    <n v="32"/>
    <n v="32"/>
    <x v="13"/>
    <s v="China"/>
    <s v="2023-07-10"/>
    <s v="2023-07-10"/>
    <x v="8"/>
    <n v="1692063544"/>
    <d v="2023-08-15T01:39:04"/>
    <n v="883.32"/>
    <n v="883.32"/>
    <s v="Great customer $$$"/>
    <s v="Great customer "/>
  </r>
  <r>
    <n v="1133"/>
    <s v="David Brown"/>
    <s v="David Brown"/>
    <s v="David Brown"/>
    <n v="46"/>
    <n v="46"/>
    <x v="2"/>
    <s v="Japan"/>
    <s v="2023-03-04"/>
    <s v="2023-03-04"/>
    <x v="6"/>
    <n v="1687992422"/>
    <d v="2023-06-28T22:47:02"/>
    <m/>
    <n v="0"/>
    <s v="High engagement"/>
    <s v="High engagement"/>
  </r>
  <r>
    <n v="2017"/>
    <s v="John Smith"/>
    <s v="John Smith"/>
    <s v="John Smith"/>
    <m/>
    <n v="43"/>
    <x v="1"/>
    <s v="Germany"/>
    <s v="06-04-2023"/>
    <s v="2023-06-04"/>
    <x v="10"/>
    <n v="1681914360"/>
    <d v="2023-04-19T14:26:00"/>
    <n v="674.56"/>
    <n v="674.56"/>
    <s v="Great customer $$$"/>
    <s v="Great customer "/>
  </r>
  <r>
    <n v="1511"/>
    <s v="Liam O’Connor"/>
    <s v="Liam O’Connor"/>
    <s v="Liam O’Connor"/>
    <m/>
    <n v="43"/>
    <x v="14"/>
    <s v="Italy"/>
    <s v="2023-09-03T00:00:00Z"/>
    <s v="2023-09-03"/>
    <x v="5"/>
    <n v="1698744611"/>
    <d v="2023-10-31T09:30:11"/>
    <m/>
    <n v="0"/>
    <s v="High engagement"/>
    <s v="High engagement"/>
  </r>
  <r>
    <n v="1554"/>
    <s v=" Sarah Johnson "/>
    <s v="Sarah Johnson"/>
    <s v=" Sarah Johnson "/>
    <n v="56"/>
    <n v="56"/>
    <x v="7"/>
    <s v="Brazil"/>
    <s v="January 30 2023"/>
    <s v="2023-01-30"/>
    <x v="7"/>
    <n v="1690288799"/>
    <d v="2023-07-25T12:39:59"/>
    <n v="542.58000000000004"/>
    <n v="542.58000000000004"/>
    <s v="Frequent buyer ñ"/>
    <s v="Frequent buyer n"/>
  </r>
  <r>
    <n v="1206"/>
    <s v="Emily Davis"/>
    <s v="Emily Davis"/>
    <s v="Emily Davis"/>
    <n v="52"/>
    <n v="52"/>
    <x v="3"/>
    <s v="United States"/>
    <s v="2023-04-23T00:00:00Z"/>
    <s v="2023-04-23"/>
    <x v="4"/>
    <n v="1700927997"/>
    <d v="2023-11-25T15:59:57"/>
    <m/>
    <n v="0"/>
    <s v="Newsletter subscriber %"/>
    <s v="Newsletter subscriber "/>
  </r>
  <r>
    <n v="1386"/>
    <s v="Isabella Martinez"/>
    <s v="Isabella Martinez"/>
    <s v="Isabella Martinez"/>
    <n v="29"/>
    <n v="29"/>
    <x v="3"/>
    <s v="United States"/>
    <s v="01/29/2023"/>
    <s v="2023-01-29"/>
    <x v="7"/>
    <n v="1692712453"/>
    <d v="2023-08-22T13:54:13"/>
    <m/>
    <n v="0"/>
    <s v="Great customer $$$"/>
    <s v="Great customer "/>
  </r>
  <r>
    <n v="1680"/>
    <s v=" Mia Thompson "/>
    <s v="Mia Thompson"/>
    <s v=" Mia Thompson "/>
    <n v="39"/>
    <n v="39"/>
    <x v="6"/>
    <s v="France"/>
    <s v="2023-06-15"/>
    <s v="2023-06-15"/>
    <x v="10"/>
    <n v="1673259274"/>
    <d v="2023-01-09T10:14:34"/>
    <n v="230.09"/>
    <n v="230.09"/>
    <s v="Prefers email %"/>
    <s v="Prefers email "/>
  </r>
  <r>
    <n v="2078"/>
    <s v="Olivia Wilson"/>
    <s v="Olivia Wilson"/>
    <s v="Olivia Wilson"/>
    <n v="63"/>
    <n v="63"/>
    <x v="13"/>
    <s v="China"/>
    <s v="2023-10-28"/>
    <s v="2023-10-28"/>
    <x v="3"/>
    <n v="1683817115"/>
    <d v="2023-05-11T14:58:35"/>
    <n v="459.63"/>
    <n v="459.63"/>
    <s v="Frequent buyer ñ"/>
    <s v="Frequent buyer n"/>
  </r>
  <r>
    <n v="1895"/>
    <s v="Liam O’Connor"/>
    <s v="Liam O’Connor"/>
    <s v="Liam O’Connor"/>
    <n v="59"/>
    <n v="59"/>
    <x v="9"/>
    <s v="Ireland"/>
    <s v="2023-12-22T00:00:00Z"/>
    <s v="2023-12-22"/>
    <x v="0"/>
    <n v="1698931062"/>
    <d v="2023-11-02T13:17:42"/>
    <n v="541.66999999999996"/>
    <n v="541.66999999999996"/>
    <s v="High engagement"/>
    <s v="High engagement"/>
  </r>
  <r>
    <n v="1652"/>
    <s v=" Mia Thompson "/>
    <s v="Mia Thompson"/>
    <s v=" Mia Thompson "/>
    <m/>
    <n v="43"/>
    <x v="0"/>
    <s v="United Kingdom"/>
    <s v="2023-06-19"/>
    <s v="2023-06-19"/>
    <x v="10"/>
    <n v="1680509818"/>
    <d v="2023-04-03T08:16:58"/>
    <m/>
    <n v="0"/>
    <s v="Frequent buyer ñ"/>
    <s v="Frequent buyer n"/>
  </r>
  <r>
    <n v="1182"/>
    <s v="Renée Dupont"/>
    <s v="Renée Dupont"/>
    <s v="Renée Dupont"/>
    <m/>
    <n v="43"/>
    <x v="3"/>
    <s v="United States"/>
    <s v="05/16/2023"/>
    <s v="2023-05-16"/>
    <x v="9"/>
    <n v="1680897201"/>
    <d v="2023-04-07T19:53:21"/>
    <m/>
    <n v="0"/>
    <s v="Student account"/>
    <s v="Student account"/>
  </r>
  <r>
    <n v="1222"/>
    <s v=" André Santos "/>
    <s v="André Santos"/>
    <s v=" André Santos "/>
    <n v="46"/>
    <n v="46"/>
    <x v="5"/>
    <s v="UAE"/>
    <s v="March 27 2023"/>
    <s v="2023-03-27"/>
    <x v="6"/>
    <n v="1689069086"/>
    <d v="2023-07-11T09:51:26"/>
    <m/>
    <n v="0"/>
    <s v="Corporate account"/>
    <s v="Corporate account"/>
  </r>
  <r>
    <n v="1042"/>
    <s v=" Lucas Silva "/>
    <s v="Lucas Silva"/>
    <s v=" Lucas Silva "/>
    <m/>
    <n v="43"/>
    <x v="6"/>
    <s v="France"/>
    <s v="07/12/2023"/>
    <s v="2023-07-12"/>
    <x v="8"/>
    <n v="1697085343"/>
    <d v="2023-10-12T04:35:43"/>
    <n v="121.75"/>
    <n v="121.75"/>
    <s v="Newsletter subscriber %"/>
    <s v="Newsletter subscriber "/>
  </r>
  <r>
    <n v="1989"/>
    <s v=" Renée Dupont "/>
    <s v="Renée Dupont"/>
    <s v=" Renée Dupont "/>
    <n v="28"/>
    <n v="28"/>
    <x v="5"/>
    <s v="UAE"/>
    <s v="2023-03-22"/>
    <s v="2023-03-22"/>
    <x v="6"/>
    <n v="1675921648"/>
    <d v="2023-02-09T05:47:28"/>
    <n v="503.33"/>
    <n v="503.33"/>
    <s v="High engagement"/>
    <s v="High engagement"/>
  </r>
  <r>
    <n v="2135"/>
    <s v="André Santos"/>
    <s v="André Santos"/>
    <s v="André Santos"/>
    <n v="34"/>
    <n v="34"/>
    <x v="11"/>
    <s v="Mexico"/>
    <s v="06/02/2023"/>
    <s v="2023-06-02"/>
    <x v="10"/>
    <n v="1675742404"/>
    <d v="2023-02-07T04:00:04"/>
    <m/>
    <n v="0"/>
    <s v="Frequent buyer ñ"/>
    <s v="Frequent buyer n"/>
  </r>
  <r>
    <n v="1112"/>
    <s v=" Olivia Wilson "/>
    <s v="Olivia Wilson"/>
    <s v=" Olivia Wilson "/>
    <n v="36"/>
    <n v="36"/>
    <x v="8"/>
    <s v="Egypt"/>
    <s v="2023-04-13"/>
    <s v="2023-04-13"/>
    <x v="4"/>
    <n v="1673387546"/>
    <d v="2023-01-10T21:52:26"/>
    <m/>
    <n v="0"/>
    <s v="Prefers email %"/>
    <s v="Prefers email "/>
  </r>
  <r>
    <n v="1970"/>
    <s v="Anne Müller"/>
    <s v="Anne Müller"/>
    <s v="Anne Müller"/>
    <m/>
    <n v="43"/>
    <x v="7"/>
    <s v="Brazil"/>
    <s v="2023-02-16T00:00:00Z"/>
    <s v="2023-02-16"/>
    <x v="2"/>
    <n v="1685527252"/>
    <d v="2023-05-31T10:00:52"/>
    <m/>
    <n v="0"/>
    <s v="Newsletter subscriber %"/>
    <s v="Newsletter subscriber "/>
  </r>
  <r>
    <n v="1383"/>
    <s v=" Ethan Clark "/>
    <s v="Ethan Clark"/>
    <s v=" Ethan Clark "/>
    <m/>
    <n v="43"/>
    <x v="4"/>
    <s v="Spain"/>
    <s v="2023-05-18T00:00:00Z"/>
    <s v="2023-05-18"/>
    <x v="9"/>
    <n v="1674592274"/>
    <d v="2023-01-24T20:31:14"/>
    <n v="235.18"/>
    <n v="235.18"/>
    <s v="Prefers email %"/>
    <s v="Prefers email "/>
  </r>
  <r>
    <n v="1705"/>
    <s v="Chloe Dubois"/>
    <s v="Chloe Dubois"/>
    <s v="Chloe Dubois"/>
    <n v="32"/>
    <n v="32"/>
    <x v="3"/>
    <s v="United States"/>
    <s v="2023-07-18T00:00:00Z"/>
    <s v="2023-07-18"/>
    <x v="8"/>
    <n v="1686570961"/>
    <d v="2023-06-12T11:56:01"/>
    <m/>
    <n v="0"/>
    <s v="Holiday signup %"/>
    <s v="Holiday signup "/>
  </r>
  <r>
    <n v="1920"/>
    <s v="Sarah Johnson"/>
    <s v="Sarah Johnson"/>
    <s v="Sarah Johnson"/>
    <n v="28"/>
    <n v="28"/>
    <x v="0"/>
    <s v="United Kingdom"/>
    <s v="January 22 2023"/>
    <s v="2023-01-22"/>
    <x v="7"/>
    <n v="1675153611"/>
    <d v="2023-01-31T08:26:51"/>
    <m/>
    <n v="0"/>
    <s v="VIP client $$$"/>
    <s v="VIP client "/>
  </r>
  <r>
    <n v="1303"/>
    <s v=" Mia Thompson "/>
    <s v="Mia Thompson"/>
    <s v=" Mia Thompson "/>
    <n v="64"/>
    <n v="64"/>
    <x v="13"/>
    <s v="China"/>
    <s v="October 12 2023"/>
    <s v="2023-10-12"/>
    <x v="3"/>
    <n v="1691047864"/>
    <d v="2023-08-03T07:31:04"/>
    <m/>
    <n v="0"/>
    <s v="Corporate account"/>
    <s v="Corporate account"/>
  </r>
  <r>
    <n v="1939"/>
    <s v="John Smith"/>
    <s v="John Smith"/>
    <s v="John Smith"/>
    <n v="55"/>
    <n v="55"/>
    <x v="5"/>
    <s v="UAE"/>
    <s v="February 27 2023"/>
    <s v="2023-02-27"/>
    <x v="2"/>
    <n v="1677545163"/>
    <d v="2023-02-28T00:46:03"/>
    <n v="230.82"/>
    <n v="230.82"/>
    <s v="Prefers email %"/>
    <s v="Prefers email "/>
  </r>
  <r>
    <n v="2153"/>
    <s v=" Björn Larsson "/>
    <s v="Björn Larsson"/>
    <s v=" Björn Larsson "/>
    <m/>
    <n v="43"/>
    <x v="5"/>
    <s v="UAE"/>
    <s v="May 16 2023"/>
    <s v="2023-05-16"/>
    <x v="9"/>
    <n v="1694495028"/>
    <d v="2023-09-12T05:03:48"/>
    <m/>
    <n v="0"/>
    <s v="Great customer $$$"/>
    <s v="Great customer "/>
  </r>
  <r>
    <n v="1353"/>
    <s v="Akira Tanaka"/>
    <s v="Akira Tanaka"/>
    <s v="Akira Tanaka"/>
    <n v="56"/>
    <n v="56"/>
    <x v="13"/>
    <s v="China"/>
    <s v="January 20 2023"/>
    <s v="2023-01-20"/>
    <x v="7"/>
    <n v="1702373157"/>
    <d v="2023-12-12T09:25:57"/>
    <n v="1319.65"/>
    <n v="1319.65"/>
    <s v="Great customer $$$"/>
    <s v="Great customer "/>
  </r>
  <r>
    <n v="1974"/>
    <s v="Akira Tanaka"/>
    <s v="Akira Tanaka"/>
    <s v="Akira Tanaka"/>
    <m/>
    <n v="43"/>
    <x v="11"/>
    <s v="Mexico"/>
    <s v="May 24 2023"/>
    <s v="2023-05-24"/>
    <x v="9"/>
    <n v="1701321580"/>
    <d v="2023-11-30T05:19:40"/>
    <n v="1047.31"/>
    <n v="1047.31"/>
    <s v="VIP client $$$"/>
    <s v="VIP client "/>
  </r>
  <r>
    <n v="2058"/>
    <s v="Olivia Wilson"/>
    <s v="Olivia Wilson"/>
    <s v="Olivia Wilson"/>
    <n v="50"/>
    <n v="50"/>
    <x v="11"/>
    <s v="Mexico"/>
    <s v="2023-12-30T00:00:00Z"/>
    <s v="2023-12-30"/>
    <x v="0"/>
    <n v="1686059359"/>
    <d v="2023-06-06T13:49:19"/>
    <n v="212.12"/>
    <n v="212.12"/>
    <s v="Frequent buyer ñ"/>
    <s v="Frequent buyer n"/>
  </r>
  <r>
    <n v="1395"/>
    <s v="David Brown"/>
    <s v="David Brown"/>
    <s v="David Brown"/>
    <m/>
    <n v="43"/>
    <x v="3"/>
    <s v="United States"/>
    <s v="07/04/2023"/>
    <s v="2023-07-04"/>
    <x v="8"/>
    <n v="1681717159"/>
    <d v="2023-04-17T07:39:19"/>
    <m/>
    <n v="0"/>
    <s v="Corporate account"/>
    <s v="Corporate account"/>
  </r>
  <r>
    <n v="1813"/>
    <s v="Liam O’Connor"/>
    <s v="Liam O’Connor"/>
    <s v="Liam O’Connor"/>
    <n v="61"/>
    <n v="61"/>
    <x v="14"/>
    <s v="Italy"/>
    <s v="2023-09-08T00:00:00Z"/>
    <s v="2023-09-08"/>
    <x v="5"/>
    <n v="1687492747"/>
    <d v="2023-06-23T03:59:07"/>
    <m/>
    <n v="0"/>
    <s v="Holiday signup %"/>
    <s v="Holiday signup "/>
  </r>
  <r>
    <n v="2130"/>
    <s v="Olivia Wilson"/>
    <s v="Olivia Wilson"/>
    <s v="Olivia Wilson"/>
    <n v="65"/>
    <n v="65"/>
    <x v="3"/>
    <s v="United States"/>
    <s v="2023-05-26"/>
    <s v="2023-05-26"/>
    <x v="9"/>
    <n v="1685494991"/>
    <d v="2023-05-31T01:03:11"/>
    <n v="83.98"/>
    <n v="83.98"/>
    <s v="VIP client $$$"/>
    <s v="VIP client "/>
  </r>
  <r>
    <n v="1462"/>
    <s v=" Zoë Kravitz "/>
    <s v="Zoë Kravitz"/>
    <s v=" Zoë Kravitz "/>
    <n v="44"/>
    <n v="44"/>
    <x v="3"/>
    <s v="United States"/>
    <s v="2023-12-16"/>
    <s v="2023-12-16"/>
    <x v="0"/>
    <n v="1688432062"/>
    <d v="2023-07-04T00:54:22"/>
    <n v="1368.16"/>
    <n v="1368.16"/>
    <s v="Holiday signup %"/>
    <s v="Holiday signup "/>
  </r>
  <r>
    <n v="1018"/>
    <s v=" Emily Davis "/>
    <s v="Emily Davis"/>
    <s v=" Emily Davis "/>
    <n v="63"/>
    <n v="63"/>
    <x v="7"/>
    <s v="Brazil"/>
    <s v="August 05 2023"/>
    <s v="2023-08-05"/>
    <x v="11"/>
    <n v="1701098490"/>
    <d v="2023-11-27T15:21:30"/>
    <m/>
    <n v="0"/>
    <s v="VIP client $$$"/>
    <s v="VIP client "/>
  </r>
  <r>
    <n v="1579"/>
    <s v="Fatima Ali"/>
    <s v="Fatima Ali"/>
    <s v="Fatima Ali"/>
    <m/>
    <n v="43"/>
    <x v="7"/>
    <s v="Brazil"/>
    <s v="24-11-2023"/>
    <s v="2023-11-24"/>
    <x v="1"/>
    <n v="1701430861"/>
    <d v="2023-12-01T11:41:01"/>
    <m/>
    <n v="0"/>
    <s v="VIP client $$$"/>
    <s v="VIP client "/>
  </r>
  <r>
    <n v="1308"/>
    <s v="Ahmed Hassan"/>
    <s v="Ahmed Hassan"/>
    <s v="Ahmed Hassan"/>
    <m/>
    <n v="43"/>
    <x v="2"/>
    <s v="Japan"/>
    <s v="12/15/2023"/>
    <s v="2023-12-15"/>
    <x v="0"/>
    <n v="1696726248"/>
    <d v="2023-10-08T00:50:48"/>
    <m/>
    <n v="0"/>
    <s v="Student account"/>
    <s v="Student account"/>
  </r>
  <r>
    <n v="1532"/>
    <s v="Sofia Rossi"/>
    <s v="Sofia Rossi"/>
    <s v="Sofia Rossi"/>
    <n v="20"/>
    <n v="20"/>
    <x v="1"/>
    <s v="Germany"/>
    <s v="06/25/2023"/>
    <s v="2023-06-25"/>
    <x v="10"/>
    <n v="1695553014"/>
    <d v="2023-09-24T10:56:54"/>
    <m/>
    <n v="0"/>
    <s v="Newsletter subscriber %"/>
    <s v="Newsletter subscriber "/>
  </r>
  <r>
    <n v="2039"/>
    <s v="Fatima Ali"/>
    <s v="Fatima Ali"/>
    <s v="Fatima Ali"/>
    <n v="60"/>
    <n v="60"/>
    <x v="11"/>
    <s v="Mexico"/>
    <s v="February 19 2023"/>
    <s v="2023-02-19"/>
    <x v="2"/>
    <n v="1676817092"/>
    <d v="2023-02-19T14:31:32"/>
    <n v="1113.97"/>
    <n v="1113.97"/>
    <s v="Newsletter subscriber %"/>
    <s v="Newsletter subscriber "/>
  </r>
  <r>
    <n v="1183"/>
    <s v="Emily Davis"/>
    <s v="Emily Davis"/>
    <s v="Emily Davis"/>
    <m/>
    <n v="43"/>
    <x v="2"/>
    <s v="Japan"/>
    <s v="10-07-2023"/>
    <s v="2023-10-07"/>
    <x v="3"/>
    <n v="1692172492"/>
    <d v="2023-08-16T07:54:52"/>
    <n v="448.14"/>
    <n v="448.14"/>
    <s v="Regular shopper"/>
    <s v="Regular shopper"/>
  </r>
  <r>
    <n v="1111"/>
    <s v=" Carlos García "/>
    <s v="Carlos García"/>
    <s v=" Carlos García "/>
    <m/>
    <n v="43"/>
    <x v="12"/>
    <s v="South Korea"/>
    <s v="15-03-2023"/>
    <s v="2023-03-15"/>
    <x v="6"/>
    <n v="1701461138"/>
    <d v="2023-12-01T20:05:38"/>
    <n v="1076.3499999999999"/>
    <n v="1076.3499999999999"/>
    <s v="Regular shopper"/>
    <s v="Regular shopper"/>
  </r>
  <r>
    <n v="1682"/>
    <s v="Liam O’Connor"/>
    <s v="Liam O’Connor"/>
    <s v="Liam O’Connor"/>
    <n v="38"/>
    <n v="38"/>
    <x v="3"/>
    <s v="United States"/>
    <s v="20-08-2023"/>
    <s v="2023-08-20"/>
    <x v="11"/>
    <n v="1679549706"/>
    <d v="2023-03-23T05:35:06"/>
    <n v="1144.18"/>
    <n v="1144.18"/>
    <s v="Holiday signup %"/>
    <s v="Holiday signup "/>
  </r>
  <r>
    <n v="1325"/>
    <s v="Isabella Martinez"/>
    <s v="Isabella Martinez"/>
    <s v="Isabella Martinez"/>
    <n v="26"/>
    <n v="26"/>
    <x v="5"/>
    <s v="UAE"/>
    <s v="November 21 2023"/>
    <s v="2023-11-21"/>
    <x v="1"/>
    <n v="1686059639"/>
    <d v="2023-06-06T13:53:59"/>
    <m/>
    <n v="0"/>
    <s v="High engagement"/>
    <s v="High engagement"/>
  </r>
  <r>
    <n v="1010"/>
    <s v="Maria Lopez"/>
    <s v="Maria Lopez"/>
    <s v="Maria Lopez"/>
    <n v="64"/>
    <n v="64"/>
    <x v="2"/>
    <s v="Japan"/>
    <s v="09/29/2023"/>
    <s v="2023-09-29"/>
    <x v="5"/>
    <n v="1673125165"/>
    <d v="2023-01-07T20:59:25"/>
    <n v="1018.35"/>
    <n v="1018.35"/>
    <s v="VIP client $$$"/>
    <s v="VIP client "/>
  </r>
  <r>
    <n v="1706"/>
    <s v=" Fatima Ali "/>
    <s v="Fatima Ali"/>
    <s v=" Fatima Ali "/>
    <n v="50"/>
    <n v="50"/>
    <x v="11"/>
    <s v="Mexico"/>
    <s v="2023-03-27"/>
    <s v="2023-03-27"/>
    <x v="6"/>
    <n v="1700167611"/>
    <d v="2023-11-16T20:46:51"/>
    <m/>
    <n v="0"/>
    <s v="Regular shopper"/>
    <s v="Regular shopper"/>
  </r>
  <r>
    <n v="2066"/>
    <s v="Mia Thompson"/>
    <s v="Mia Thompson"/>
    <s v="Mia Thompson"/>
    <n v="45"/>
    <n v="45"/>
    <x v="2"/>
    <s v="Japan"/>
    <s v="08-09-2023"/>
    <s v="2023-08-09"/>
    <x v="11"/>
    <n v="1697693702"/>
    <d v="2023-10-19T05:35:02"/>
    <m/>
    <n v="0"/>
    <s v="Great customer $$$"/>
    <s v="Great customer "/>
  </r>
  <r>
    <n v="1524"/>
    <s v="Björn Larsson"/>
    <s v="Björn Larsson"/>
    <s v="Björn Larsson"/>
    <n v="21"/>
    <n v="21"/>
    <x v="0"/>
    <s v="United Kingdom"/>
    <s v="2023-12-01"/>
    <s v="2023-12-01"/>
    <x v="0"/>
    <n v="1674142499"/>
    <d v="2023-01-19T15:34:59"/>
    <m/>
    <n v="0"/>
    <s v="Regular shopper"/>
    <s v="Regular shopper"/>
  </r>
  <r>
    <n v="1779"/>
    <s v="Anne Müller"/>
    <s v="Anne Müller"/>
    <s v="Anne Müller"/>
    <n v="48"/>
    <n v="48"/>
    <x v="1"/>
    <s v="Germany"/>
    <s v="2023-12-22"/>
    <s v="2023-12-22"/>
    <x v="0"/>
    <n v="1682627791"/>
    <d v="2023-04-27T20:36:31"/>
    <n v="637.1"/>
    <n v="637.1"/>
    <s v="Corporate account"/>
    <s v="Corporate account"/>
  </r>
  <r>
    <n v="1553"/>
    <s v="Mia Thompson"/>
    <s v="Mia Thompson"/>
    <s v="Mia Thompson"/>
    <n v="26"/>
    <n v="26"/>
    <x v="10"/>
    <s v="Sweden"/>
    <s v="2023-11-13"/>
    <s v="2023-11-13"/>
    <x v="1"/>
    <n v="1682010065"/>
    <d v="2023-04-20T17:01:05"/>
    <n v="179.88"/>
    <n v="179.88"/>
    <s v="Regular shopper"/>
    <s v="Regular shopper"/>
  </r>
  <r>
    <n v="1407"/>
    <s v=" Mia Thompson "/>
    <s v="Mia Thompson"/>
    <s v=" Mia Thompson "/>
    <n v="34"/>
    <n v="34"/>
    <x v="14"/>
    <s v="Italy"/>
    <s v="December 27 2023"/>
    <s v="2023-12-27"/>
    <x v="0"/>
    <n v="1682434341"/>
    <d v="2023-04-25T14:52:21"/>
    <m/>
    <n v="0"/>
    <s v="VIP client $$$"/>
    <s v="VIP client "/>
  </r>
  <r>
    <n v="1985"/>
    <s v=" Lucas Silva "/>
    <s v="Lucas Silva"/>
    <s v=" Lucas Silva "/>
    <n v="18"/>
    <n v="18"/>
    <x v="0"/>
    <s v="United Kingdom"/>
    <s v="October 21 2023"/>
    <s v="2023-10-21"/>
    <x v="3"/>
    <n v="1677528458"/>
    <d v="2023-02-27T20:07:38"/>
    <n v="1424.67"/>
    <n v="1424.67"/>
    <s v="Prefers email %"/>
    <s v="Prefers email "/>
  </r>
  <r>
    <n v="1525"/>
    <s v=" Liam O’Connor "/>
    <s v="Liam O’Connor"/>
    <s v=" Liam O’Connor "/>
    <m/>
    <n v="43"/>
    <x v="3"/>
    <s v="United States"/>
    <s v="02/21/2023"/>
    <s v="2023-02-21"/>
    <x v="2"/>
    <n v="1701855286"/>
    <d v="2023-12-06T09:34:46"/>
    <m/>
    <n v="0"/>
    <s v="Newsletter subscriber %"/>
    <s v="Newsletter subscriber "/>
  </r>
  <r>
    <n v="1641"/>
    <s v="Sofia Rossi"/>
    <s v="Sofia Rossi"/>
    <s v="Sofia Rossi"/>
    <n v="24"/>
    <n v="24"/>
    <x v="0"/>
    <s v="United Kingdom"/>
    <s v="12/06/2023"/>
    <s v="2023-12-06"/>
    <x v="0"/>
    <n v="1683552027"/>
    <d v="2023-05-08T13:20:27"/>
    <m/>
    <n v="0"/>
    <s v="Holiday signup %"/>
    <s v="Holiday signup "/>
  </r>
  <r>
    <n v="1550"/>
    <s v=" André Santos "/>
    <s v="André Santos"/>
    <s v=" André Santos "/>
    <n v="39"/>
    <n v="39"/>
    <x v="13"/>
    <s v="China"/>
    <s v="July 24 2023"/>
    <s v="2023-07-24"/>
    <x v="8"/>
    <n v="1681645204"/>
    <d v="2023-04-16T11:40:04"/>
    <m/>
    <n v="0"/>
    <s v="High engagement"/>
    <s v="High engagement"/>
  </r>
  <r>
    <n v="1342"/>
    <s v=" Anne Müller "/>
    <s v="Anne Müller"/>
    <s v=" Anne Müller "/>
    <n v="64"/>
    <n v="64"/>
    <x v="0"/>
    <s v="United Kingdom"/>
    <s v="2023-08-02T00:00:00Z"/>
    <s v="2023-08-02"/>
    <x v="11"/>
    <n v="1688719880"/>
    <d v="2023-07-07T08:51:20"/>
    <m/>
    <n v="0"/>
    <s v="Frequent buyer ñ"/>
    <s v="Frequent buyer n"/>
  </r>
  <r>
    <n v="1130"/>
    <s v="Akira Tanaka"/>
    <s v="Akira Tanaka"/>
    <s v="Akira Tanaka"/>
    <n v="63"/>
    <n v="63"/>
    <x v="10"/>
    <s v="Sweden"/>
    <s v="2023-10-23T00:00:00Z"/>
    <s v="2023-10-23"/>
    <x v="3"/>
    <n v="1680039686"/>
    <d v="2023-03-28T21:41:26"/>
    <m/>
    <n v="0"/>
    <s v="Corporate account"/>
    <s v="Corporate account"/>
  </r>
  <r>
    <n v="2072"/>
    <s v="Renée Dupont"/>
    <s v="Renée Dupont"/>
    <s v="Renée Dupont"/>
    <n v="45"/>
    <n v="45"/>
    <x v="4"/>
    <s v="Spain"/>
    <s v="04-09-2023"/>
    <s v="2023-04-09"/>
    <x v="4"/>
    <n v="1694794433"/>
    <d v="2023-09-15T16:13:53"/>
    <m/>
    <n v="0"/>
    <s v="Frequent buyer ñ"/>
    <s v="Frequent buyer n"/>
  </r>
  <r>
    <n v="2144"/>
    <s v=" Mia Thompson "/>
    <s v="Mia Thompson"/>
    <s v=" Mia Thompson "/>
    <n v="28"/>
    <n v="28"/>
    <x v="8"/>
    <s v="Egypt"/>
    <s v="09/11/2023"/>
    <s v="2023-09-11"/>
    <x v="5"/>
    <n v="1675036060"/>
    <d v="2023-01-29T23:47:40"/>
    <m/>
    <n v="0"/>
    <s v="VIP client $$$"/>
    <s v="VIP client "/>
  </r>
  <r>
    <n v="1678"/>
    <s v=" Akira Tanaka "/>
    <s v="Akira Tanaka"/>
    <s v=" Akira Tanaka "/>
    <n v="53"/>
    <n v="53"/>
    <x v="13"/>
    <s v="China"/>
    <s v="07/26/2023"/>
    <s v="2023-07-26"/>
    <x v="8"/>
    <n v="1675169115"/>
    <d v="2023-01-31T12:45:15"/>
    <m/>
    <n v="0"/>
    <s v="Prefers email %"/>
    <s v="Prefers email "/>
  </r>
  <r>
    <n v="2021"/>
    <s v="Ethan Clark"/>
    <s v="Ethan Clark"/>
    <s v="Ethan Clark"/>
    <n v="65"/>
    <n v="65"/>
    <x v="3"/>
    <s v="United States"/>
    <s v="February 22 2023"/>
    <s v="2023-02-22"/>
    <x v="2"/>
    <n v="1686359785"/>
    <d v="2023-06-10T01:16:25"/>
    <n v="63.39"/>
    <n v="63.39"/>
    <s v="Prefers email %"/>
    <s v="Prefers email "/>
  </r>
  <r>
    <n v="1624"/>
    <s v="Ahmed Hassan"/>
    <s v="Ahmed Hassan"/>
    <s v="Ahmed Hassan"/>
    <m/>
    <n v="43"/>
    <x v="2"/>
    <s v="Japan"/>
    <s v="2023-07-06"/>
    <s v="2023-07-06"/>
    <x v="8"/>
    <n v="1699924169"/>
    <d v="2023-11-14T01:09:29"/>
    <m/>
    <n v="0"/>
    <s v="Newsletter subscriber %"/>
    <s v="Newsletter subscriber "/>
  </r>
  <r>
    <n v="2148"/>
    <s v="Björn Larsson"/>
    <s v="Björn Larsson"/>
    <s v="Björn Larsson"/>
    <n v="63"/>
    <n v="63"/>
    <x v="14"/>
    <s v="Italy"/>
    <s v="2023-08-20"/>
    <s v="2023-08-20"/>
    <x v="11"/>
    <n v="1675793443"/>
    <d v="2023-02-07T18:10:43"/>
    <n v="1141.3900000000001"/>
    <n v="1141.3900000000001"/>
    <s v="Great customer $$$"/>
    <s v="Great customer "/>
  </r>
  <r>
    <n v="1700"/>
    <s v="Olivia Wilson"/>
    <s v="Olivia Wilson"/>
    <s v="Olivia Wilson"/>
    <n v="53"/>
    <n v="53"/>
    <x v="14"/>
    <s v="Italy"/>
    <s v="2023-12-26"/>
    <s v="2023-12-26"/>
    <x v="0"/>
    <n v="1674060058"/>
    <d v="2023-01-18T16:40:58"/>
    <m/>
    <n v="0"/>
    <s v="Frequent buyer ñ"/>
    <s v="Frequent buyer n"/>
  </r>
  <r>
    <n v="1839"/>
    <s v=" Anne Müller "/>
    <s v="Anne Müller"/>
    <s v=" Anne Müller "/>
    <n v="30"/>
    <n v="30"/>
    <x v="13"/>
    <s v="China"/>
    <s v="April 21 2023"/>
    <s v="2023-04-21"/>
    <x v="4"/>
    <n v="1700191445"/>
    <d v="2023-11-17T03:24:05"/>
    <m/>
    <n v="0"/>
    <s v="Prefers email %"/>
    <s v="Prefers email "/>
  </r>
  <r>
    <n v="1849"/>
    <s v="Maria Lopez"/>
    <s v="Maria Lopez"/>
    <s v="Maria Lopez"/>
    <n v="61"/>
    <n v="61"/>
    <x v="12"/>
    <s v="South Korea"/>
    <s v="2023-08-23T00:00:00Z"/>
    <s v="2023-08-23"/>
    <x v="11"/>
    <n v="1689442063"/>
    <d v="2023-07-15T17:27:43"/>
    <m/>
    <n v="0"/>
    <s v="Great customer $$$"/>
    <s v="Great customer "/>
  </r>
  <r>
    <n v="2087"/>
    <s v=" André Santos "/>
    <s v="André Santos"/>
    <s v=" André Santos "/>
    <m/>
    <n v="43"/>
    <x v="10"/>
    <s v="Sweden"/>
    <s v="2023-04-01T00:00:00Z"/>
    <s v="2023-04-01"/>
    <x v="4"/>
    <n v="1678350736"/>
    <d v="2023-03-09T08:32:16"/>
    <n v="1098.44"/>
    <n v="1098.44"/>
    <s v="Prefers email %"/>
    <s v="Prefers email "/>
  </r>
  <r>
    <n v="1722"/>
    <s v="Chloe Dubois"/>
    <s v="Chloe Dubois"/>
    <s v="Chloe Dubois"/>
    <n v="60"/>
    <n v="60"/>
    <x v="5"/>
    <s v="UAE"/>
    <s v="2023-12-12T00:00:00Z"/>
    <s v="2023-12-12"/>
    <x v="0"/>
    <n v="1682118150"/>
    <d v="2023-04-21T23:02:30"/>
    <m/>
    <n v="0"/>
    <s v="Great customer $$$"/>
    <s v="Great customer "/>
  </r>
  <r>
    <n v="2071"/>
    <s v=" Anne Müller "/>
    <s v="Anne Müller"/>
    <s v=" Anne Müller "/>
    <n v="21"/>
    <n v="21"/>
    <x v="3"/>
    <s v="United States"/>
    <s v="13-04-2023"/>
    <s v="2023-04-13"/>
    <x v="4"/>
    <n v="1697696032"/>
    <d v="2023-10-19T06:13:52"/>
    <m/>
    <n v="0"/>
    <s v="Student account"/>
    <s v="Student account"/>
  </r>
  <r>
    <n v="1300"/>
    <s v="Maria Lopez"/>
    <s v="Maria Lopez"/>
    <s v="Maria Lopez"/>
    <n v="31"/>
    <n v="31"/>
    <x v="3"/>
    <s v="United States"/>
    <s v="July 03 2023"/>
    <s v="2023-07-03"/>
    <x v="8"/>
    <n v="1675962658"/>
    <d v="2023-02-09T17:10:58"/>
    <n v="928"/>
    <n v="928"/>
    <s v="Corporate account"/>
    <s v="Corporate account"/>
  </r>
  <r>
    <n v="1797"/>
    <s v="Emily Davis"/>
    <s v="Emily Davis"/>
    <s v="Emily Davis"/>
    <n v="36"/>
    <n v="36"/>
    <x v="3"/>
    <s v="United States"/>
    <s v="July 15 2023"/>
    <s v="2023-07-15"/>
    <x v="8"/>
    <n v="1686501643"/>
    <d v="2023-06-11T16:40:43"/>
    <m/>
    <n v="0"/>
    <s v="Corporate account"/>
    <s v="Corporate account"/>
  </r>
  <r>
    <n v="1603"/>
    <s v=" Ethan Clark "/>
    <s v="Ethan Clark"/>
    <s v=" Ethan Clark "/>
    <n v="61"/>
    <n v="61"/>
    <x v="6"/>
    <s v="France"/>
    <s v="2023-09-21"/>
    <s v="2023-09-21"/>
    <x v="5"/>
    <n v="1685180672"/>
    <d v="2023-05-27T09:44:32"/>
    <m/>
    <n v="0"/>
    <s v="Corporate account"/>
    <s v="Corporate account"/>
  </r>
  <r>
    <n v="1105"/>
    <s v="Björn Larsson"/>
    <s v="Björn Larsson"/>
    <s v="Björn Larsson"/>
    <m/>
    <n v="43"/>
    <x v="8"/>
    <s v="Egypt"/>
    <s v="2023-10-21T00:00:00Z"/>
    <s v="2023-10-21"/>
    <x v="3"/>
    <n v="1684539358"/>
    <d v="2023-05-19T23:35:58"/>
    <m/>
    <n v="0"/>
    <s v="Corporate account"/>
    <s v="Corporate account"/>
  </r>
  <r>
    <n v="1451"/>
    <s v="Sarah Johnson"/>
    <s v="Sarah Johnson"/>
    <s v="Sarah Johnson"/>
    <m/>
    <n v="43"/>
    <x v="9"/>
    <s v="Ireland"/>
    <s v="October 02 2023"/>
    <s v="2023-10-02"/>
    <x v="3"/>
    <n v="1675609180"/>
    <d v="2023-02-05T14:59:40"/>
    <n v="530.61"/>
    <n v="530.61"/>
    <s v="Newsletter subscriber %"/>
    <s v="Newsletter subscriber "/>
  </r>
  <r>
    <n v="1679"/>
    <s v=" Olivia Wilson "/>
    <s v="Olivia Wilson"/>
    <s v=" Olivia Wilson "/>
    <m/>
    <n v="43"/>
    <x v="9"/>
    <s v="Ireland"/>
    <s v="2023-11-29"/>
    <s v="2023-11-29"/>
    <x v="1"/>
    <n v="1676373429"/>
    <d v="2023-02-14T11:17:09"/>
    <m/>
    <n v="0"/>
    <s v="VIP client $$$"/>
    <s v="VIP client "/>
  </r>
  <r>
    <n v="1500"/>
    <s v="Maria Lopez"/>
    <s v="Maria Lopez"/>
    <s v="Maria Lopez"/>
    <n v="38"/>
    <n v="38"/>
    <x v="13"/>
    <s v="China"/>
    <s v="2023-05-12T00:00:00Z"/>
    <s v="2023-05-12"/>
    <x v="9"/>
    <n v="1696816590"/>
    <d v="2023-10-09T01:56:30"/>
    <m/>
    <n v="0"/>
    <s v="Corporate account"/>
    <s v="Corporate account"/>
  </r>
  <r>
    <n v="1432"/>
    <s v="Zoë Kravitz"/>
    <s v="Zoë Kravitz"/>
    <s v="Zoë Kravitz"/>
    <m/>
    <n v="43"/>
    <x v="0"/>
    <s v="United Kingdom"/>
    <s v="2023-04-16T00:00:00Z"/>
    <s v="2023-04-16"/>
    <x v="4"/>
    <n v="1700332190"/>
    <d v="2023-11-18T18:29:50"/>
    <m/>
    <n v="0"/>
    <s v="Prefers email %"/>
    <s v="Prefers email "/>
  </r>
  <r>
    <n v="1467"/>
    <s v="Akira Tanaka"/>
    <s v="Akira Tanaka"/>
    <s v="Akira Tanaka"/>
    <m/>
    <n v="43"/>
    <x v="5"/>
    <s v="UAE"/>
    <s v="2023-06-11"/>
    <s v="2023-06-11"/>
    <x v="10"/>
    <n v="1685593513"/>
    <d v="2023-06-01T04:25:13"/>
    <n v="1013.22"/>
    <n v="1013.22"/>
    <s v="Holiday signup %"/>
    <s v="Holiday signup "/>
  </r>
  <r>
    <n v="1178"/>
    <s v="Fatima Ali"/>
    <s v="Fatima Ali"/>
    <s v="Fatima Ali"/>
    <m/>
    <n v="43"/>
    <x v="3"/>
    <s v="United States"/>
    <s v="08/31/2023"/>
    <s v="2023-08-31"/>
    <x v="11"/>
    <n v="1690424207"/>
    <d v="2023-07-27T02:16:47"/>
    <m/>
    <n v="0"/>
    <s v="Corporate account"/>
    <s v="Corporate account"/>
  </r>
  <r>
    <n v="1605"/>
    <s v=" Liam O’Connor "/>
    <s v="Liam O’Connor"/>
    <s v=" Liam O’Connor "/>
    <n v="64"/>
    <n v="64"/>
    <x v="14"/>
    <s v="Italy"/>
    <s v="2023-01-06T00:00:00Z"/>
    <s v="2023-01-06"/>
    <x v="7"/>
    <n v="1701876307"/>
    <d v="2023-12-06T15:25:07"/>
    <n v="837.05"/>
    <n v="837.05"/>
    <s v="Great customer $$$"/>
    <s v="Great customer "/>
  </r>
  <r>
    <n v="1011"/>
    <s v="Daniel Kim"/>
    <s v="Daniel Kim"/>
    <s v="Daniel Kim"/>
    <n v="52"/>
    <n v="52"/>
    <x v="11"/>
    <s v="Mexico"/>
    <s v="18-04-2023"/>
    <s v="2023-04-18"/>
    <x v="4"/>
    <n v="1679628712"/>
    <d v="2023-03-24T03:31:52"/>
    <n v="624.86"/>
    <n v="624.86"/>
    <s v="Frequent buyer ñ"/>
    <s v="Frequent buyer n"/>
  </r>
  <r>
    <n v="1377"/>
    <s v="Emily Davis"/>
    <s v="Emily Davis"/>
    <s v="Emily Davis"/>
    <n v="34"/>
    <n v="34"/>
    <x v="6"/>
    <s v="France"/>
    <s v="2023-12-10T00:00:00Z"/>
    <s v="2023-12-10"/>
    <x v="0"/>
    <n v="1701120802"/>
    <d v="2023-11-27T21:33:22"/>
    <m/>
    <n v="0"/>
    <s v="Corporate account"/>
    <s v="Corporate account"/>
  </r>
  <r>
    <n v="1584"/>
    <s v=" Mia Thompson "/>
    <s v="Mia Thompson"/>
    <s v=" Mia Thompson "/>
    <m/>
    <n v="43"/>
    <x v="12"/>
    <s v="South Korea"/>
    <s v="2023-06-18T00:00:00Z"/>
    <s v="2023-06-18"/>
    <x v="10"/>
    <n v="1694650539"/>
    <d v="2023-09-14T00:15:39"/>
    <n v="465.46"/>
    <n v="465.46"/>
    <s v="Holiday signup %"/>
    <s v="Holiday signup "/>
  </r>
  <r>
    <n v="2161"/>
    <s v="Olivia Wilson"/>
    <s v="Olivia Wilson"/>
    <s v="Olivia Wilson"/>
    <n v="45"/>
    <n v="45"/>
    <x v="2"/>
    <s v="Japan"/>
    <s v="05/07/2023"/>
    <s v="2023-05-07"/>
    <x v="9"/>
    <n v="1696421437"/>
    <d v="2023-10-04T12:10:37"/>
    <m/>
    <n v="0"/>
    <s v="Student account"/>
    <s v="Student account"/>
  </r>
  <r>
    <n v="1737"/>
    <s v="Carlos García"/>
    <s v="Carlos García"/>
    <s v="Carlos García"/>
    <m/>
    <n v="43"/>
    <x v="12"/>
    <s v="South Korea"/>
    <s v="03-07-2023"/>
    <s v="2023-03-07"/>
    <x v="6"/>
    <n v="1688864048"/>
    <d v="2023-07-09T00:54:08"/>
    <n v="831.99"/>
    <n v="831.99"/>
    <s v="Holiday signup %"/>
    <s v="Holiday signup "/>
  </r>
  <r>
    <n v="1064"/>
    <s v="Daniel Kim"/>
    <s v="Daniel Kim"/>
    <s v="Daniel Kim"/>
    <n v="55"/>
    <n v="55"/>
    <x v="9"/>
    <s v="Ireland"/>
    <s v="2023-05-14T00:00:00Z"/>
    <s v="2023-05-14"/>
    <x v="9"/>
    <n v="1702521190"/>
    <d v="2023-12-14T02:33:10"/>
    <m/>
    <n v="0"/>
    <s v="Frequent buyer ñ"/>
    <s v="Frequent buyer n"/>
  </r>
  <r>
    <n v="1750"/>
    <s v=" Noah Martin "/>
    <s v="Noah Martin"/>
    <s v=" Noah Martin "/>
    <m/>
    <n v="43"/>
    <x v="0"/>
    <s v="United Kingdom"/>
    <s v="2023-08-26T00:00:00Z"/>
    <s v="2023-08-26"/>
    <x v="11"/>
    <n v="1689650584"/>
    <d v="2023-07-18T03:23:04"/>
    <m/>
    <n v="0"/>
    <s v="Corporate account"/>
    <s v="Corporate account"/>
  </r>
  <r>
    <n v="1022"/>
    <s v=" Zoë Kravitz "/>
    <s v="Zoë Kravitz"/>
    <s v=" Zoë Kravitz "/>
    <n v="57"/>
    <n v="57"/>
    <x v="10"/>
    <s v="Sweden"/>
    <s v="March 13 2023"/>
    <s v="2023-03-13"/>
    <x v="6"/>
    <n v="1677866617"/>
    <d v="2023-03-03T18:03:37"/>
    <n v="276.93"/>
    <n v="276.93"/>
    <s v="Regular shopper"/>
    <s v="Regular shopper"/>
  </r>
  <r>
    <n v="1735"/>
    <s v=" Maria Lopez "/>
    <s v="Maria Lopez"/>
    <s v=" Maria Lopez "/>
    <n v="49"/>
    <n v="49"/>
    <x v="7"/>
    <s v="Brazil"/>
    <s v="07/09/2023"/>
    <s v="2023-07-09"/>
    <x v="8"/>
    <n v="1673960412"/>
    <d v="2023-01-17T13:00:12"/>
    <m/>
    <n v="0"/>
    <s v="High engagement"/>
    <s v="High engagement"/>
  </r>
  <r>
    <n v="1962"/>
    <s v="Ethan Clark"/>
    <s v="Ethan Clark"/>
    <s v="Ethan Clark"/>
    <m/>
    <n v="43"/>
    <x v="0"/>
    <s v="United Kingdom"/>
    <s v="2023-12-27T00:00:00Z"/>
    <s v="2023-12-27"/>
    <x v="0"/>
    <n v="1693782980"/>
    <d v="2023-09-03T23:16:20"/>
    <m/>
    <n v="0"/>
    <s v="Holiday signup %"/>
    <s v="Holiday signup "/>
  </r>
  <r>
    <n v="1832"/>
    <s v="Olivia Wilson"/>
    <s v="Olivia Wilson"/>
    <s v="Olivia Wilson"/>
    <m/>
    <n v="43"/>
    <x v="3"/>
    <s v="United States"/>
    <s v="09/14/2023"/>
    <s v="2023-09-14"/>
    <x v="5"/>
    <n v="1687284551"/>
    <d v="2023-06-20T18:09:11"/>
    <n v="256.75"/>
    <n v="256.75"/>
    <s v="Corporate account"/>
    <s v="Corporate account"/>
  </r>
  <r>
    <n v="1576"/>
    <s v=" David Brown "/>
    <s v="David Brown"/>
    <s v=" David Brown "/>
    <n v="41"/>
    <n v="41"/>
    <x v="0"/>
    <s v="United Kingdom"/>
    <s v="12/05/2023"/>
    <s v="2023-12-05"/>
    <x v="0"/>
    <n v="1686436126"/>
    <d v="2023-06-10T22:28:46"/>
    <n v="1218.6500000000001"/>
    <n v="1218.6500000000001"/>
    <s v="Regular shopper"/>
    <s v="Regular shopper"/>
  </r>
  <r>
    <n v="2050"/>
    <s v="Maria Lopez"/>
    <s v="Maria Lopez"/>
    <s v="Maria Lopez"/>
    <n v="27"/>
    <n v="27"/>
    <x v="7"/>
    <s v="Brazil"/>
    <s v="2023-04-03T00:00:00Z"/>
    <s v="2023-04-03"/>
    <x v="4"/>
    <n v="1686128856"/>
    <d v="2023-06-07T09:07:36"/>
    <n v="903.04"/>
    <n v="903.04"/>
    <s v="Student account"/>
    <s v="Student account"/>
  </r>
  <r>
    <n v="1176"/>
    <s v="David Brown"/>
    <s v="David Brown"/>
    <s v="David Brown"/>
    <n v="48"/>
    <n v="48"/>
    <x v="4"/>
    <s v="Spain"/>
    <s v="2023-07-30T00:00:00Z"/>
    <s v="2023-07-30"/>
    <x v="8"/>
    <n v="1677312624"/>
    <d v="2023-02-25T08:10:24"/>
    <n v="1193.98"/>
    <n v="1193.98"/>
    <s v="Holiday signup %"/>
    <s v="Holiday signup "/>
  </r>
  <r>
    <n v="2047"/>
    <s v=" Akira Tanaka "/>
    <s v="Akira Tanaka"/>
    <s v=" Akira Tanaka "/>
    <m/>
    <n v="43"/>
    <x v="3"/>
    <s v="United States"/>
    <s v="April 28 2023"/>
    <s v="2023-04-28"/>
    <x v="4"/>
    <n v="1685457954"/>
    <d v="2023-05-30T14:45:54"/>
    <n v="207"/>
    <n v="207"/>
    <s v="VIP client $$$"/>
    <s v="VIP client "/>
  </r>
  <r>
    <n v="1581"/>
    <s v="Mia Thompson"/>
    <s v="Mia Thompson"/>
    <s v="Mia Thompson"/>
    <n v="44"/>
    <n v="44"/>
    <x v="3"/>
    <s v="United States"/>
    <s v="2023-12-30"/>
    <s v="2023-12-30"/>
    <x v="0"/>
    <n v="1691918030"/>
    <d v="2023-08-13T09:13:50"/>
    <n v="788.59"/>
    <n v="788.59"/>
    <s v="High engagement"/>
    <s v="High engagement"/>
  </r>
  <r>
    <n v="1421"/>
    <s v="Renée Dupont"/>
    <s v="Renée Dupont"/>
    <s v="Renée Dupont"/>
    <n v="44"/>
    <n v="44"/>
    <x v="0"/>
    <s v="United Kingdom"/>
    <s v="2023-08-07T00:00:00Z"/>
    <s v="2023-08-07"/>
    <x v="11"/>
    <n v="1681034502"/>
    <d v="2023-04-09T10:01:42"/>
    <m/>
    <n v="0"/>
    <s v="Holiday signup %"/>
    <s v="Holiday signup "/>
  </r>
  <r>
    <n v="1749"/>
    <s v=" Mia Thompson "/>
    <s v="Mia Thompson"/>
    <s v=" Mia Thompson "/>
    <n v="61"/>
    <n v="61"/>
    <x v="5"/>
    <s v="UAE"/>
    <s v="2023-10-10T00:00:00Z"/>
    <s v="2023-10-10"/>
    <x v="3"/>
    <n v="1688712931"/>
    <d v="2023-07-07T06:55:31"/>
    <m/>
    <n v="0"/>
    <s v="Student account"/>
    <s v="Student account"/>
  </r>
  <r>
    <n v="1440"/>
    <s v="Ahmed Hassan"/>
    <s v="Ahmed Hassan"/>
    <s v="Ahmed Hassan"/>
    <n v="53"/>
    <n v="53"/>
    <x v="3"/>
    <s v="United States"/>
    <s v="March 24 2023"/>
    <s v="2023-03-24"/>
    <x v="6"/>
    <n v="1693860478"/>
    <d v="2023-09-04T20:47:58"/>
    <n v="17.88"/>
    <n v="17.88"/>
    <s v="Frequent buyer ñ"/>
    <s v="Frequent buyer n"/>
  </r>
  <r>
    <n v="1966"/>
    <s v="Mia Thompson"/>
    <s v="Mia Thompson"/>
    <s v="Mia Thompson"/>
    <n v="22"/>
    <n v="22"/>
    <x v="14"/>
    <s v="Italy"/>
    <s v="2023-02-10T00:00:00Z"/>
    <s v="2023-02-10"/>
    <x v="2"/>
    <n v="1673790858"/>
    <d v="2023-01-15T13:54:18"/>
    <m/>
    <n v="0"/>
    <s v="Holiday signup %"/>
    <s v="Holiday signup "/>
  </r>
  <r>
    <n v="2068"/>
    <s v="Fatima Ali"/>
    <s v="Fatima Ali"/>
    <s v="Fatima Ali"/>
    <n v="56"/>
    <n v="56"/>
    <x v="8"/>
    <s v="Egypt"/>
    <s v="2023-08-13"/>
    <s v="2023-08-13"/>
    <x v="11"/>
    <n v="1679292171"/>
    <d v="2023-03-20T06:02:51"/>
    <m/>
    <n v="0"/>
    <s v="VIP client $$$"/>
    <s v="VIP client "/>
  </r>
  <r>
    <n v="1069"/>
    <s v="Mia Thompson"/>
    <s v="Mia Thompson"/>
    <s v="Mia Thompson"/>
    <n v="32"/>
    <n v="32"/>
    <x v="6"/>
    <s v="France"/>
    <s v="2023-12-12"/>
    <s v="2023-12-12"/>
    <x v="0"/>
    <n v="1684594871"/>
    <d v="2023-05-20T15:01:11"/>
    <n v="366.49"/>
    <n v="366.49"/>
    <s v="Frequent buyer ñ"/>
    <s v="Frequent buyer n"/>
  </r>
  <r>
    <n v="2126"/>
    <s v="Fatima Ali"/>
    <s v="Fatima Ali"/>
    <s v="Fatima Ali"/>
    <m/>
    <n v="43"/>
    <x v="14"/>
    <s v="Italy"/>
    <s v="05/22/2023"/>
    <s v="2023-05-22"/>
    <x v="9"/>
    <n v="1692870179"/>
    <d v="2023-08-24T09:42:59"/>
    <m/>
    <n v="0"/>
    <s v="High engagement"/>
    <s v="High engagement"/>
  </r>
  <r>
    <n v="2178"/>
    <s v=" John Smith "/>
    <s v="John Smith"/>
    <s v=" John Smith "/>
    <n v="44"/>
    <n v="44"/>
    <x v="9"/>
    <s v="Ireland"/>
    <s v="2023-02-07T00:00:00Z"/>
    <s v="2023-02-07"/>
    <x v="2"/>
    <n v="1682397452"/>
    <d v="2023-04-25T04:37:32"/>
    <n v="516.54999999999995"/>
    <n v="516.54999999999995"/>
    <s v="Corporate account"/>
    <s v="Corporate account"/>
  </r>
  <r>
    <n v="1528"/>
    <s v="Chloe Dubois"/>
    <s v="Chloe Dubois"/>
    <s v="Chloe Dubois"/>
    <n v="34"/>
    <n v="34"/>
    <x v="12"/>
    <s v="South Korea"/>
    <s v="2023-07-13T00:00:00Z"/>
    <s v="2023-07-13"/>
    <x v="8"/>
    <n v="1688751926"/>
    <d v="2023-07-07T17:45:26"/>
    <m/>
    <n v="0"/>
    <s v="Regular shopper"/>
    <s v="Regular shopper"/>
  </r>
  <r>
    <n v="1944"/>
    <s v="Daniel Kim"/>
    <s v="Daniel Kim"/>
    <s v="Daniel Kim"/>
    <m/>
    <n v="43"/>
    <x v="3"/>
    <s v="United States"/>
    <s v="07/15/2023"/>
    <s v="2023-07-15"/>
    <x v="8"/>
    <n v="1695237430"/>
    <d v="2023-09-20T19:17:10"/>
    <m/>
    <n v="0"/>
    <s v="High engagement"/>
    <s v="High engagement"/>
  </r>
  <r>
    <n v="1724"/>
    <s v="Ahmed Hassan"/>
    <s v="Ahmed Hassan"/>
    <s v="Ahmed Hassan"/>
    <n v="62"/>
    <n v="62"/>
    <x v="11"/>
    <s v="Mexico"/>
    <s v="February 17 2023"/>
    <s v="2023-02-17"/>
    <x v="2"/>
    <n v="1695129550"/>
    <d v="2023-09-19T13:19:10"/>
    <m/>
    <n v="0"/>
    <s v="Prefers email %"/>
    <s v="Prefers email "/>
  </r>
  <r>
    <n v="2136"/>
    <s v="Sarah Johnson"/>
    <s v="Sarah Johnson"/>
    <s v="Sarah Johnson"/>
    <n v="31"/>
    <n v="31"/>
    <x v="7"/>
    <s v="Brazil"/>
    <s v="04/04/2023"/>
    <s v="2023-04-04"/>
    <x v="4"/>
    <n v="1689267639"/>
    <d v="2023-07-13T17:00:39"/>
    <n v="1108.3"/>
    <n v="1108.3"/>
    <s v="VIP client $$$"/>
    <s v="VIP client "/>
  </r>
  <r>
    <n v="1544"/>
    <s v=" David Brown "/>
    <s v="David Brown"/>
    <s v=" David Brown "/>
    <m/>
    <n v="43"/>
    <x v="0"/>
    <s v="United Kingdom"/>
    <s v="2023-02-24"/>
    <s v="2023-02-24"/>
    <x v="2"/>
    <n v="1703400390"/>
    <d v="2023-12-24T06:46:30"/>
    <m/>
    <n v="0"/>
    <s v="Holiday signup %"/>
    <s v="Holiday signup "/>
  </r>
  <r>
    <n v="1014"/>
    <s v="Björn Larsson"/>
    <s v="Björn Larsson"/>
    <s v="Björn Larsson"/>
    <m/>
    <n v="43"/>
    <x v="2"/>
    <s v="Japan"/>
    <s v="2023-09-10T00:00:00Z"/>
    <s v="2023-09-10"/>
    <x v="5"/>
    <n v="1701675044"/>
    <d v="2023-12-04T07:30:44"/>
    <n v="419.35"/>
    <n v="419.35"/>
    <s v="Corporate account"/>
    <s v="Corporate account"/>
  </r>
  <r>
    <n v="1574"/>
    <s v=" Noah Martin "/>
    <s v="Noah Martin"/>
    <s v=" Noah Martin "/>
    <n v="54"/>
    <n v="54"/>
    <x v="10"/>
    <s v="Sweden"/>
    <s v="August 05 2023"/>
    <s v="2023-08-05"/>
    <x v="11"/>
    <n v="1704053570"/>
    <d v="2023-12-31T20:12:50"/>
    <m/>
    <n v="0"/>
    <s v="High engagement"/>
    <s v="High engagement"/>
  </r>
  <r>
    <n v="1358"/>
    <s v="Ethan Clark"/>
    <s v="Ethan Clark"/>
    <s v="Ethan Clark"/>
    <m/>
    <n v="43"/>
    <x v="2"/>
    <s v="Japan"/>
    <s v="2023-12-19"/>
    <s v="2023-12-19"/>
    <x v="0"/>
    <n v="1672920612"/>
    <d v="2023-01-05T12:10:12"/>
    <m/>
    <n v="0"/>
    <s v="Holiday signup %"/>
    <s v="Holiday signup "/>
  </r>
  <r>
    <n v="1207"/>
    <s v="Lucas Silva"/>
    <s v="Lucas Silva"/>
    <s v="Lucas Silva"/>
    <n v="29"/>
    <n v="29"/>
    <x v="7"/>
    <s v="Brazil"/>
    <s v="02-05-2023"/>
    <s v="2023-02-05"/>
    <x v="2"/>
    <n v="1688339725"/>
    <d v="2023-07-02T23:15:25"/>
    <m/>
    <n v="0"/>
    <s v="Newsletter subscriber %"/>
    <s v="Newsletter subscriber "/>
  </r>
  <r>
    <n v="1469"/>
    <s v="Anne Müller"/>
    <s v="Anne Müller"/>
    <s v="Anne Müller"/>
    <m/>
    <n v="43"/>
    <x v="13"/>
    <s v="China"/>
    <s v="04/11/2023"/>
    <s v="2023-04-11"/>
    <x v="4"/>
    <n v="1699368802"/>
    <d v="2023-11-07T14:53:22"/>
    <n v="1439.13"/>
    <n v="1439.13"/>
    <s v="Regular shopper"/>
    <s v="Regular shopper"/>
  </r>
  <r>
    <n v="1020"/>
    <s v="Sarah Johnson"/>
    <s v="Sarah Johnson"/>
    <s v="Sarah Johnson"/>
    <n v="58"/>
    <n v="58"/>
    <x v="9"/>
    <s v="Ireland"/>
    <s v="June 11 2023"/>
    <s v="2023-06-11"/>
    <x v="10"/>
    <n v="1682591476"/>
    <d v="2023-04-27T10:31:16"/>
    <n v="383.95"/>
    <n v="383.95"/>
    <s v="High engagement"/>
    <s v="High engagement"/>
  </r>
  <r>
    <n v="1203"/>
    <s v=" Renée Dupont "/>
    <s v="Renée Dupont"/>
    <s v=" Renée Dupont "/>
    <m/>
    <n v="43"/>
    <x v="0"/>
    <s v="United Kingdom"/>
    <s v="19-08-2023"/>
    <s v="2023-08-19"/>
    <x v="11"/>
    <n v="1681240405"/>
    <d v="2023-04-11T19:13:25"/>
    <m/>
    <n v="0"/>
    <s v="Newsletter subscriber %"/>
    <s v="Newsletter subscriber "/>
  </r>
  <r>
    <n v="1041"/>
    <s v=" Sofia Rossi "/>
    <s v="Sofia Rossi"/>
    <s v=" Sofia Rossi "/>
    <n v="61"/>
    <n v="61"/>
    <x v="9"/>
    <s v="Ireland"/>
    <s v="31-03-2023"/>
    <s v="2023-03-31"/>
    <x v="6"/>
    <n v="1684439482"/>
    <d v="2023-05-18T19:51:22"/>
    <m/>
    <n v="0"/>
    <s v="Regular shopper"/>
    <s v="Regular shopper"/>
  </r>
  <r>
    <n v="1161"/>
    <s v="Noah Martin"/>
    <s v="Noah Martin"/>
    <s v="Noah Martin"/>
    <n v="47"/>
    <n v="47"/>
    <x v="6"/>
    <s v="France"/>
    <s v="24-11-2023"/>
    <s v="2023-11-24"/>
    <x v="1"/>
    <n v="1686677812"/>
    <d v="2023-06-13T17:36:52"/>
    <m/>
    <n v="0"/>
    <s v="Prefers email %"/>
    <s v="Prefers email "/>
  </r>
  <r>
    <n v="1163"/>
    <s v="Sarah Johnson"/>
    <s v="Sarah Johnson"/>
    <s v="Sarah Johnson"/>
    <n v="38"/>
    <n v="38"/>
    <x v="11"/>
    <s v="Mexico"/>
    <s v="30-12-2023"/>
    <s v="2023-12-30"/>
    <x v="0"/>
    <n v="1692837348"/>
    <d v="2023-08-24T00:35:48"/>
    <m/>
    <n v="0"/>
    <s v="Regular shopper"/>
    <s v="Regular shopper"/>
  </r>
  <r>
    <n v="1744"/>
    <s v="André Santos"/>
    <s v="André Santos"/>
    <s v="André Santos"/>
    <n v="46"/>
    <n v="46"/>
    <x v="6"/>
    <s v="France"/>
    <s v="01/12/2023"/>
    <s v="2023-01-12"/>
    <x v="7"/>
    <n v="1696943990"/>
    <d v="2023-10-10T13:19:50"/>
    <m/>
    <n v="0"/>
    <s v="Prefers email %"/>
    <s v="Prefers email "/>
  </r>
  <r>
    <n v="1538"/>
    <s v=" Mia Thompson "/>
    <s v="Mia Thompson"/>
    <s v=" Mia Thompson "/>
    <m/>
    <n v="43"/>
    <x v="4"/>
    <s v="Spain"/>
    <s v="07-05-2023"/>
    <s v="2023-07-05"/>
    <x v="8"/>
    <n v="1687393996"/>
    <d v="2023-06-22T00:33:16"/>
    <n v="943.46"/>
    <n v="943.46"/>
    <s v="Corporate account"/>
    <s v="Corporate account"/>
  </r>
  <r>
    <n v="1350"/>
    <s v=" John Smith "/>
    <s v="John Smith"/>
    <s v=" John Smith "/>
    <m/>
    <n v="43"/>
    <x v="12"/>
    <s v="South Korea"/>
    <s v="04-10-2023"/>
    <s v="2023-04-10"/>
    <x v="4"/>
    <n v="1690930125"/>
    <d v="2023-08-01T22:48:45"/>
    <n v="672.82"/>
    <n v="672.82"/>
    <s v="Holiday signup %"/>
    <s v="Holiday signup "/>
  </r>
  <r>
    <n v="1936"/>
    <s v="Liam O’Connor"/>
    <s v="Liam O’Connor"/>
    <s v="Liam O’Connor"/>
    <n v="45"/>
    <n v="45"/>
    <x v="9"/>
    <s v="Ireland"/>
    <s v="08-06-2023"/>
    <s v="2023-08-06"/>
    <x v="11"/>
    <n v="1688685548"/>
    <d v="2023-07-06T23:19:08"/>
    <n v="814.11"/>
    <n v="814.11"/>
    <s v="Regular shopper"/>
    <s v="Regular shopper"/>
  </r>
  <r>
    <n v="1631"/>
    <s v="Olivia Wilson"/>
    <s v="Olivia Wilson"/>
    <s v="Olivia Wilson"/>
    <n v="27"/>
    <n v="27"/>
    <x v="3"/>
    <s v="United States"/>
    <s v="09/25/2023"/>
    <s v="2023-09-25"/>
    <x v="5"/>
    <n v="1684062863"/>
    <d v="2023-05-14T11:14:23"/>
    <n v="437.28"/>
    <n v="437.28"/>
    <s v="Regular shopper"/>
    <s v="Regular shopper"/>
  </r>
  <r>
    <n v="1978"/>
    <s v=" Fatima Ali "/>
    <s v="Fatima Ali"/>
    <s v=" Fatima Ali "/>
    <n v="36"/>
    <n v="36"/>
    <x v="4"/>
    <s v="Spain"/>
    <s v="2023-01-04T00:00:00Z"/>
    <s v="2023-01-04"/>
    <x v="7"/>
    <n v="1685061408"/>
    <d v="2023-05-26T00:36:48"/>
    <m/>
    <n v="0"/>
    <s v="High engagement"/>
    <s v="High engagement"/>
  </r>
  <r>
    <n v="2090"/>
    <s v="Akira Tanaka"/>
    <s v="Akira Tanaka"/>
    <s v="Akira Tanaka"/>
    <n v="22"/>
    <n v="22"/>
    <x v="11"/>
    <s v="Mexico"/>
    <s v="February 26 2023"/>
    <s v="2023-02-26"/>
    <x v="2"/>
    <n v="1693251559"/>
    <d v="2023-08-28T19:39:19"/>
    <m/>
    <n v="0"/>
    <s v="VIP client $$$"/>
    <s v="VIP client "/>
  </r>
  <r>
    <n v="1185"/>
    <s v=" Carlos García "/>
    <s v="Carlos García"/>
    <s v=" Carlos García "/>
    <m/>
    <n v="43"/>
    <x v="11"/>
    <s v="Mexico"/>
    <s v="13-09-2023"/>
    <s v="2023-09-13"/>
    <x v="5"/>
    <n v="1688082668"/>
    <d v="2023-06-29T23:51:08"/>
    <n v="1048.43"/>
    <n v="1048.43"/>
    <s v="Newsletter subscriber %"/>
    <s v="Newsletter subscriber "/>
  </r>
  <r>
    <n v="1165"/>
    <s v="Björn Larsson"/>
    <s v="Björn Larsson"/>
    <s v="Björn Larsson"/>
    <m/>
    <n v="43"/>
    <x v="3"/>
    <s v="United States"/>
    <s v="October 06 2023"/>
    <s v="2023-10-06"/>
    <x v="3"/>
    <n v="1678617610"/>
    <d v="2023-03-12T10:40:10"/>
    <m/>
    <n v="0"/>
    <s v="High engagement"/>
    <s v="High engagement"/>
  </r>
  <r>
    <n v="1026"/>
    <s v="Anne Müller"/>
    <s v="Anne Müller"/>
    <s v="Anne Müller"/>
    <m/>
    <n v="43"/>
    <x v="12"/>
    <s v="South Korea"/>
    <s v="2023-05-07"/>
    <s v="2023-05-07"/>
    <x v="9"/>
    <n v="1679207367"/>
    <d v="2023-03-19T06:29:27"/>
    <n v="696.64"/>
    <n v="696.64"/>
    <s v="Corporate account"/>
    <s v="Corporate account"/>
  </r>
  <r>
    <n v="1427"/>
    <s v="Isabella Martinez"/>
    <s v="Isabella Martinez"/>
    <s v="Isabella Martinez"/>
    <n v="37"/>
    <n v="37"/>
    <x v="3"/>
    <s v="United States"/>
    <s v="2023-10-09T00:00:00Z"/>
    <s v="2023-10-09"/>
    <x v="3"/>
    <n v="1676622389"/>
    <d v="2023-02-17T08:26:29"/>
    <m/>
    <n v="0"/>
    <s v="VIP client $$$"/>
    <s v="VIP client "/>
  </r>
  <r>
    <n v="1739"/>
    <s v="Maria Lopez"/>
    <s v="Maria Lopez"/>
    <s v="Maria Lopez"/>
    <n v="31"/>
    <n v="31"/>
    <x v="5"/>
    <s v="UAE"/>
    <s v="2023-06-16"/>
    <s v="2023-06-16"/>
    <x v="10"/>
    <n v="1678139681"/>
    <d v="2023-03-06T21:54:41"/>
    <n v="1193.6400000000001"/>
    <n v="1193.6400000000001"/>
    <s v="High engagement"/>
    <s v="High engagement"/>
  </r>
  <r>
    <n v="1649"/>
    <s v="Chloe Dubois"/>
    <s v="Chloe Dubois"/>
    <s v="Chloe Dubois"/>
    <n v="46"/>
    <n v="46"/>
    <x v="1"/>
    <s v="Germany"/>
    <s v="January 11 2023"/>
    <s v="2023-01-11"/>
    <x v="7"/>
    <n v="1684542106"/>
    <d v="2023-05-20T00:21:46"/>
    <m/>
    <n v="0"/>
    <s v="Great customer $$$"/>
    <s v="Great customer "/>
  </r>
  <r>
    <n v="1994"/>
    <s v="Renée Dupont"/>
    <s v="Renée Dupont"/>
    <s v="Renée Dupont"/>
    <n v="52"/>
    <n v="52"/>
    <x v="8"/>
    <s v="Egypt"/>
    <s v="2023-04-08T00:00:00Z"/>
    <s v="2023-04-08"/>
    <x v="4"/>
    <n v="1678786153"/>
    <d v="2023-03-14T09:29:13"/>
    <m/>
    <n v="0"/>
    <s v="Regular shopper"/>
    <s v="Regular shopper"/>
  </r>
  <r>
    <n v="1002"/>
    <s v="Björn Larsson"/>
    <s v="Björn Larsson"/>
    <s v="Björn Larsson"/>
    <n v="42"/>
    <n v="42"/>
    <x v="3"/>
    <s v="United States"/>
    <s v="14-11-2023"/>
    <s v="2023-11-14"/>
    <x v="1"/>
    <n v="1698562795"/>
    <d v="2023-10-29T06:59:55"/>
    <m/>
    <n v="0"/>
    <s v="Prefers email %"/>
    <s v="Prefers email "/>
  </r>
  <r>
    <n v="2104"/>
    <s v=" Noah Martin "/>
    <s v="Noah Martin"/>
    <s v=" Noah Martin "/>
    <n v="49"/>
    <n v="49"/>
    <x v="0"/>
    <s v="United Kingdom"/>
    <s v="10-11-2023"/>
    <s v="2023-10-11"/>
    <x v="3"/>
    <n v="1683348661"/>
    <d v="2023-05-06T04:51:01"/>
    <m/>
    <n v="0"/>
    <s v="Prefers email %"/>
    <s v="Prefers email "/>
  </r>
  <r>
    <n v="1198"/>
    <s v="Ahmed Hassan"/>
    <s v="Ahmed Hassan"/>
    <s v="Ahmed Hassan"/>
    <n v="20"/>
    <n v="20"/>
    <x v="3"/>
    <s v="United States"/>
    <s v="2023-04-14"/>
    <s v="2023-04-14"/>
    <x v="4"/>
    <n v="1688810324"/>
    <d v="2023-07-08T09:58:44"/>
    <n v="295.51"/>
    <n v="295.51"/>
    <s v="Holiday signup %"/>
    <s v="Holiday signup "/>
  </r>
  <r>
    <n v="1796"/>
    <s v="Zoë Kravitz"/>
    <s v="Zoë Kravitz"/>
    <s v="Zoë Kravitz"/>
    <n v="62"/>
    <n v="62"/>
    <x v="7"/>
    <s v="Brazil"/>
    <s v="26-01-2023"/>
    <s v="2023-01-26"/>
    <x v="7"/>
    <n v="1679930227"/>
    <d v="2023-03-27T15:17:07"/>
    <n v="912.87"/>
    <n v="912.87"/>
    <s v="Great customer $$$"/>
    <s v="Great customer "/>
  </r>
  <r>
    <n v="1428"/>
    <s v="Liam O’Connor"/>
    <s v="Liam O’Connor"/>
    <s v="Liam O’Connor"/>
    <n v="47"/>
    <n v="47"/>
    <x v="3"/>
    <s v="United States"/>
    <s v="2023-07-04T00:00:00Z"/>
    <s v="2023-07-04"/>
    <x v="8"/>
    <n v="1697470963"/>
    <d v="2023-10-16T15:42:43"/>
    <m/>
    <n v="0"/>
    <s v="Newsletter subscriber %"/>
    <s v="Newsletter subscriber "/>
  </r>
  <r>
    <n v="1120"/>
    <s v=" Mia Thompson "/>
    <s v="Mia Thompson"/>
    <s v=" Mia Thompson "/>
    <n v="20"/>
    <n v="20"/>
    <x v="11"/>
    <s v="Mexico"/>
    <s v="02/09/2023"/>
    <s v="2023-02-09"/>
    <x v="2"/>
    <n v="1689955033"/>
    <d v="2023-07-21T15:57:13"/>
    <n v="154.71"/>
    <n v="154.71"/>
    <s v="Corporate account"/>
    <s v="Corporate account"/>
  </r>
  <r>
    <n v="1790"/>
    <s v=" David Brown "/>
    <s v="David Brown"/>
    <s v=" David Brown "/>
    <n v="33"/>
    <n v="33"/>
    <x v="6"/>
    <s v="France"/>
    <s v="2023-10-13T00:00:00Z"/>
    <s v="2023-10-13"/>
    <x v="3"/>
    <n v="1686455283"/>
    <d v="2023-06-11T03:48:03"/>
    <m/>
    <n v="0"/>
    <s v="Regular shopper"/>
    <s v="Regular shopper"/>
  </r>
  <r>
    <n v="1875"/>
    <s v=" Anne Müller "/>
    <s v="Anne Müller"/>
    <s v=" Anne Müller "/>
    <m/>
    <n v="43"/>
    <x v="10"/>
    <s v="Sweden"/>
    <s v="06/22/2023"/>
    <s v="2023-06-22"/>
    <x v="10"/>
    <n v="1690438727"/>
    <d v="2023-07-27T06:18:47"/>
    <m/>
    <n v="0"/>
    <s v="Newsletter subscriber %"/>
    <s v="Newsletter subscriber "/>
  </r>
  <r>
    <n v="1646"/>
    <s v="Chloe Dubois"/>
    <s v="Chloe Dubois"/>
    <s v="Chloe Dubois"/>
    <m/>
    <n v="43"/>
    <x v="5"/>
    <s v="UAE"/>
    <s v="2023-06-15T00:00:00Z"/>
    <s v="2023-06-15"/>
    <x v="10"/>
    <n v="1680601308"/>
    <d v="2023-04-04T09:41:48"/>
    <n v="849.09"/>
    <n v="849.09"/>
    <s v="High engagement"/>
    <s v="High engagement"/>
  </r>
  <r>
    <n v="2127"/>
    <s v=" André Santos "/>
    <s v="André Santos"/>
    <s v=" André Santos "/>
    <m/>
    <n v="43"/>
    <x v="3"/>
    <s v="United States"/>
    <s v="18-01-2023"/>
    <s v="2023-01-18"/>
    <x v="7"/>
    <n v="1692514483"/>
    <d v="2023-08-20T06:54:43"/>
    <n v="34.29"/>
    <n v="34.29"/>
    <s v="Student account"/>
    <s v="Student account"/>
  </r>
  <r>
    <n v="1078"/>
    <s v="Ethan Clark"/>
    <s v="Ethan Clark"/>
    <s v="Ethan Clark"/>
    <m/>
    <n v="43"/>
    <x v="4"/>
    <s v="Spain"/>
    <s v="30-04-2023"/>
    <s v="2023-04-30"/>
    <x v="4"/>
    <n v="1699739135"/>
    <d v="2023-11-11T21:45:35"/>
    <m/>
    <n v="0"/>
    <s v="Holiday signup %"/>
    <s v="Holiday signup "/>
  </r>
  <r>
    <n v="1446"/>
    <s v=" André Santos "/>
    <s v="André Santos"/>
    <s v=" André Santos "/>
    <n v="38"/>
    <n v="38"/>
    <x v="8"/>
    <s v="Egypt"/>
    <s v="2023-12-20T00:00:00Z"/>
    <s v="2023-12-20"/>
    <x v="0"/>
    <n v="1700022369"/>
    <d v="2023-11-15T04:26:09"/>
    <m/>
    <n v="0"/>
    <s v="Great customer $$$"/>
    <s v="Great customer "/>
  </r>
  <r>
    <n v="1913"/>
    <s v="Björn Larsson"/>
    <s v="Björn Larsson"/>
    <s v="Björn Larsson"/>
    <n v="50"/>
    <n v="50"/>
    <x v="5"/>
    <s v="UAE"/>
    <s v="May 29 2023"/>
    <s v="2023-05-29"/>
    <x v="9"/>
    <n v="1677490472"/>
    <d v="2023-02-27T09:34:32"/>
    <n v="206.96"/>
    <n v="206.96"/>
    <s v="Regular shopper"/>
    <s v="Regular shopper"/>
  </r>
  <r>
    <n v="2146"/>
    <s v="David Brown"/>
    <s v="David Brown"/>
    <s v="David Brown"/>
    <n v="59"/>
    <n v="59"/>
    <x v="9"/>
    <s v="Ireland"/>
    <s v="2023-11-12T00:00:00Z"/>
    <s v="2023-11-12"/>
    <x v="1"/>
    <n v="1680786639"/>
    <d v="2023-04-06T13:10:39"/>
    <m/>
    <n v="0"/>
    <s v="High engagement"/>
    <s v="High engagement"/>
  </r>
  <r>
    <n v="1663"/>
    <s v="Zoë Kravitz"/>
    <s v="Zoë Kravitz"/>
    <s v="Zoë Kravitz"/>
    <n v="25"/>
    <n v="25"/>
    <x v="5"/>
    <s v="UAE"/>
    <s v="05-08-2023"/>
    <s v="2023-05-08"/>
    <x v="9"/>
    <n v="1684211272"/>
    <d v="2023-05-16T04:27:52"/>
    <m/>
    <n v="0"/>
    <s v="Holiday signup %"/>
    <s v="Holiday signup "/>
  </r>
  <r>
    <n v="1050"/>
    <s v="Björn Larsson"/>
    <s v="Björn Larsson"/>
    <s v="Björn Larsson"/>
    <m/>
    <n v="43"/>
    <x v="0"/>
    <s v="United Kingdom"/>
    <s v="2023-08-14"/>
    <s v="2023-08-14"/>
    <x v="11"/>
    <n v="1703535449"/>
    <d v="2023-12-25T20:17:29"/>
    <n v="1229.08"/>
    <n v="1229.08"/>
    <s v="Newsletter subscriber %"/>
    <s v="Newsletter subscriber "/>
  </r>
  <r>
    <n v="1320"/>
    <s v="Björn Larsson"/>
    <s v="Björn Larsson"/>
    <s v="Björn Larsson"/>
    <n v="25"/>
    <n v="25"/>
    <x v="3"/>
    <s v="United States"/>
    <s v="2023-05-05T00:00:00Z"/>
    <s v="2023-05-05"/>
    <x v="9"/>
    <n v="1703619888"/>
    <d v="2023-12-26T19:44:48"/>
    <m/>
    <n v="0"/>
    <s v="Great customer $$$"/>
    <s v="Great customer "/>
  </r>
  <r>
    <n v="1704"/>
    <s v="Renée Dupont"/>
    <s v="Renée Dupont"/>
    <s v="Renée Dupont"/>
    <m/>
    <n v="43"/>
    <x v="3"/>
    <s v="United States"/>
    <s v="06/19/2023"/>
    <s v="2023-06-19"/>
    <x v="10"/>
    <n v="1697354715"/>
    <d v="2023-10-15T07:25:15"/>
    <n v="811.63"/>
    <n v="811.63"/>
    <s v="Corporate account"/>
    <s v="Corporate account"/>
  </r>
  <r>
    <n v="1349"/>
    <s v=" Maria Lopez "/>
    <s v="Maria Lopez"/>
    <s v=" Maria Lopez "/>
    <m/>
    <n v="43"/>
    <x v="3"/>
    <s v="United States"/>
    <s v="2023-08-27"/>
    <s v="2023-08-27"/>
    <x v="11"/>
    <n v="1674758651"/>
    <d v="2023-01-26T18:44:11"/>
    <m/>
    <n v="0"/>
    <s v="Newsletter subscriber %"/>
    <s v="Newsletter subscriber "/>
  </r>
  <r>
    <n v="1221"/>
    <s v=" John Smith "/>
    <s v="John Smith"/>
    <s v=" John Smith "/>
    <n v="59"/>
    <n v="59"/>
    <x v="13"/>
    <s v="China"/>
    <s v="2023-09-18"/>
    <s v="2023-09-18"/>
    <x v="5"/>
    <n v="1702852913"/>
    <d v="2023-12-17T22:41:53"/>
    <n v="480.03"/>
    <n v="480.03"/>
    <s v="Frequent buyer ñ"/>
    <s v="Frequent buyer n"/>
  </r>
  <r>
    <n v="1038"/>
    <s v="Olivia Wilson"/>
    <s v="Olivia Wilson"/>
    <s v="Olivia Wilson"/>
    <m/>
    <n v="43"/>
    <x v="4"/>
    <s v="Spain"/>
    <s v="14-09-2023"/>
    <s v="2023-09-14"/>
    <x v="5"/>
    <n v="1699766603"/>
    <d v="2023-11-12T05:23:23"/>
    <m/>
    <n v="0"/>
    <s v="High engagement"/>
    <s v="High engagement"/>
  </r>
  <r>
    <n v="1633"/>
    <s v="Renée Dupont"/>
    <s v="Renée Dupont"/>
    <s v="Renée Dupont"/>
    <m/>
    <n v="43"/>
    <x v="0"/>
    <s v="United Kingdom"/>
    <s v="2023-12-02T00:00:00Z"/>
    <s v="2023-12-02"/>
    <x v="0"/>
    <n v="1703297176"/>
    <d v="2023-12-23T02:06:16"/>
    <n v="245.49"/>
    <n v="245.49"/>
    <s v="Corporate account"/>
    <s v="Corporate account"/>
  </r>
  <r>
    <n v="2092"/>
    <s v=" André Santos "/>
    <s v="André Santos"/>
    <s v=" André Santos "/>
    <n v="27"/>
    <n v="27"/>
    <x v="3"/>
    <s v="United States"/>
    <s v="June 13 2023"/>
    <s v="2023-06-13"/>
    <x v="10"/>
    <n v="1686323319"/>
    <d v="2023-06-09T15:08:39"/>
    <m/>
    <n v="0"/>
    <s v="Frequent buyer ñ"/>
    <s v="Frequent buyer n"/>
  </r>
  <r>
    <n v="1385"/>
    <s v=" Anne Müller "/>
    <s v="Anne Müller"/>
    <s v=" Anne Müller "/>
    <n v="57"/>
    <n v="57"/>
    <x v="7"/>
    <s v="Brazil"/>
    <s v="2023-11-07T00:00:00Z"/>
    <s v="2023-11-07"/>
    <x v="1"/>
    <n v="1693071459"/>
    <d v="2023-08-26T17:37:39"/>
    <n v="354.06"/>
    <n v="354.06"/>
    <s v="VIP client $$$"/>
    <s v="VIP client "/>
  </r>
  <r>
    <n v="1054"/>
    <s v=" Olivia Wilson "/>
    <s v="Olivia Wilson"/>
    <s v=" Olivia Wilson "/>
    <n v="26"/>
    <n v="26"/>
    <x v="8"/>
    <s v="Egypt"/>
    <s v="31-12-2023"/>
    <s v="2023-12-31"/>
    <x v="0"/>
    <n v="1678697226"/>
    <d v="2023-03-13T08:47:06"/>
    <m/>
    <n v="0"/>
    <s v="Regular shopper"/>
    <s v="Regular shopper"/>
  </r>
  <r>
    <n v="1136"/>
    <s v="Sarah Johnson"/>
    <s v="Sarah Johnson"/>
    <s v="Sarah Johnson"/>
    <m/>
    <n v="43"/>
    <x v="2"/>
    <s v="Japan"/>
    <s v="08/23/2023"/>
    <s v="2023-08-23"/>
    <x v="11"/>
    <n v="1686870388"/>
    <d v="2023-06-15T23:06:28"/>
    <n v="613.25"/>
    <n v="613.25"/>
    <s v="Holiday signup %"/>
    <s v="Holiday signup "/>
  </r>
  <r>
    <n v="1780"/>
    <s v="André Santos"/>
    <s v="André Santos"/>
    <s v="André Santos"/>
    <n v="65"/>
    <n v="65"/>
    <x v="9"/>
    <s v="Ireland"/>
    <s v="2023-09-26"/>
    <s v="2023-09-26"/>
    <x v="5"/>
    <n v="1689994084"/>
    <d v="2023-07-22T02:48:04"/>
    <m/>
    <n v="0"/>
    <s v="Great customer $$$"/>
    <s v="Great customer "/>
  </r>
  <r>
    <n v="1586"/>
    <s v=" Ethan Clark "/>
    <s v="Ethan Clark"/>
    <s v=" Ethan Clark "/>
    <n v="36"/>
    <n v="36"/>
    <x v="10"/>
    <s v="Sweden"/>
    <s v="March 14 2023"/>
    <s v="2023-03-14"/>
    <x v="6"/>
    <n v="1700370605"/>
    <d v="2023-11-19T05:10:05"/>
    <n v="972.69"/>
    <n v="972.69"/>
    <s v="Corporate account"/>
    <s v="Corporate account"/>
  </r>
  <r>
    <n v="1232"/>
    <s v="Sarah Johnson"/>
    <s v="Sarah Johnson"/>
    <s v="Sarah Johnson"/>
    <n v="62"/>
    <n v="62"/>
    <x v="13"/>
    <s v="China"/>
    <s v="31-07-2023"/>
    <s v="2023-07-31"/>
    <x v="8"/>
    <n v="1687653218"/>
    <d v="2023-06-25T00:33:38"/>
    <m/>
    <n v="0"/>
    <s v="Holiday signup %"/>
    <s v="Holiday signup "/>
  </r>
  <r>
    <n v="1414"/>
    <s v=" Ethan Clark "/>
    <s v="Ethan Clark"/>
    <s v=" Ethan Clark "/>
    <n v="62"/>
    <n v="62"/>
    <x v="6"/>
    <s v="France"/>
    <s v="2023-03-05"/>
    <s v="2023-03-05"/>
    <x v="6"/>
    <n v="1676354739"/>
    <d v="2023-02-14T06:05:39"/>
    <m/>
    <n v="0"/>
    <s v="Prefers email %"/>
    <s v="Prefers email "/>
  </r>
  <r>
    <n v="2073"/>
    <s v="Renée Dupont"/>
    <s v="Renée Dupont"/>
    <s v="Renée Dupont"/>
    <n v="50"/>
    <n v="50"/>
    <x v="13"/>
    <s v="China"/>
    <s v="October 09 2023"/>
    <s v="2023-10-09"/>
    <x v="3"/>
    <n v="1673997243"/>
    <d v="2023-01-17T23:14:03"/>
    <m/>
    <n v="0"/>
    <s v="Holiday signup %"/>
    <s v="Holiday signup "/>
  </r>
  <r>
    <n v="1371"/>
    <s v="Anne Müller"/>
    <s v="Anne Müller"/>
    <s v="Anne Müller"/>
    <n v="18"/>
    <n v="18"/>
    <x v="7"/>
    <s v="Brazil"/>
    <s v="January 07 2023"/>
    <s v="2023-01-07"/>
    <x v="7"/>
    <n v="1689221611"/>
    <d v="2023-07-13T04:13:31"/>
    <n v="1284.56"/>
    <n v="1284.56"/>
    <s v="Holiday signup %"/>
    <s v="Holiday signup "/>
  </r>
  <r>
    <n v="1570"/>
    <s v="Mia Thompson"/>
    <s v="Mia Thompson"/>
    <s v="Mia Thompson"/>
    <n v="31"/>
    <n v="31"/>
    <x v="0"/>
    <s v="United Kingdom"/>
    <s v="29-01-2023"/>
    <s v="2023-01-29"/>
    <x v="7"/>
    <n v="1673756154"/>
    <d v="2023-01-15T04:15:54"/>
    <n v="226.61"/>
    <n v="226.61"/>
    <s v="Holiday signup %"/>
    <s v="Holiday signup "/>
  </r>
  <r>
    <n v="2186"/>
    <s v="Olivia Wilson"/>
    <s v="Olivia Wilson"/>
    <s v="Olivia Wilson"/>
    <m/>
    <n v="43"/>
    <x v="14"/>
    <s v="Italy"/>
    <s v="2023-07-14"/>
    <s v="2023-07-14"/>
    <x v="8"/>
    <n v="1697973090"/>
    <d v="2023-10-22T11:11:30"/>
    <n v="646.71"/>
    <n v="646.71"/>
    <s v="Student account"/>
    <s v="Student account"/>
  </r>
  <r>
    <n v="1965"/>
    <s v=" Carlos García "/>
    <s v="Carlos García"/>
    <s v=" Carlos García "/>
    <n v="39"/>
    <n v="39"/>
    <x v="5"/>
    <s v="UAE"/>
    <s v="09/26/2023"/>
    <s v="2023-09-26"/>
    <x v="5"/>
    <n v="1695872163"/>
    <d v="2023-09-28T03:36:03"/>
    <n v="321.49"/>
    <n v="321.49"/>
    <s v="Prefers email %"/>
    <s v="Prefers email "/>
  </r>
  <r>
    <n v="1243"/>
    <s v="John Smith"/>
    <s v="John Smith"/>
    <s v="John Smith"/>
    <n v="25"/>
    <n v="25"/>
    <x v="5"/>
    <s v="UAE"/>
    <s v="2023-07-31"/>
    <s v="2023-07-31"/>
    <x v="8"/>
    <n v="1683724209"/>
    <d v="2023-05-10T13:10:09"/>
    <n v="530.98"/>
    <n v="530.98"/>
    <s v="Great customer $$$"/>
    <s v="Great customer "/>
  </r>
  <r>
    <n v="1413"/>
    <s v=" Renée Dupont "/>
    <s v="Renée Dupont"/>
    <s v=" Renée Dupont "/>
    <m/>
    <n v="43"/>
    <x v="10"/>
    <s v="Sweden"/>
    <s v="09-10-2023"/>
    <s v="2023-09-10"/>
    <x v="5"/>
    <n v="1698261343"/>
    <d v="2023-10-25T19:15:43"/>
    <m/>
    <n v="0"/>
    <s v="Newsletter subscriber %"/>
    <s v="Newsletter subscriber "/>
  </r>
  <r>
    <n v="1987"/>
    <s v="Carlos García"/>
    <s v="Carlos García"/>
    <s v="Carlos García"/>
    <m/>
    <n v="43"/>
    <x v="5"/>
    <s v="UAE"/>
    <s v="2023-01-29T00:00:00Z"/>
    <s v="2023-01-29"/>
    <x v="7"/>
    <n v="1682568309"/>
    <d v="2023-04-27T04:05:09"/>
    <m/>
    <n v="0"/>
    <s v="Corporate account"/>
    <s v="Corporate account"/>
  </r>
  <r>
    <n v="2098"/>
    <s v=" John Smith "/>
    <s v="John Smith"/>
    <s v=" John Smith "/>
    <m/>
    <n v="43"/>
    <x v="3"/>
    <s v="United States"/>
    <s v="18-03-2023"/>
    <s v="2023-03-18"/>
    <x v="6"/>
    <n v="1700734524"/>
    <d v="2023-11-23T10:15:24"/>
    <m/>
    <n v="0"/>
    <s v="Corporate account"/>
    <s v="Corporate account"/>
  </r>
  <r>
    <n v="1340"/>
    <s v="Daniel Kim"/>
    <s v="Daniel Kim"/>
    <s v="Daniel Kim"/>
    <n v="29"/>
    <n v="29"/>
    <x v="11"/>
    <s v="Mexico"/>
    <s v="28-12-2023"/>
    <s v="2023-12-28"/>
    <x v="0"/>
    <n v="1696342278"/>
    <d v="2023-10-03T14:11:18"/>
    <m/>
    <n v="0"/>
    <s v="Prefers email %"/>
    <s v="Prefers email "/>
  </r>
  <r>
    <n v="1909"/>
    <s v=" Ahmed Hassan "/>
    <s v="Ahmed Hassan"/>
    <s v=" Ahmed Hassan "/>
    <n v="48"/>
    <n v="48"/>
    <x v="1"/>
    <s v="Germany"/>
    <s v="June 24 2023"/>
    <s v="2023-06-24"/>
    <x v="10"/>
    <n v="1697100643"/>
    <d v="2023-10-12T08:50:43"/>
    <m/>
    <n v="0"/>
    <s v="Newsletter subscriber %"/>
    <s v="Newsletter subscriber "/>
  </r>
  <r>
    <n v="2183"/>
    <s v="Björn Larsson"/>
    <s v="Björn Larsson"/>
    <s v="Björn Larsson"/>
    <n v="31"/>
    <n v="31"/>
    <x v="1"/>
    <s v="Germany"/>
    <s v="27-05-2023"/>
    <s v="2023-05-27"/>
    <x v="9"/>
    <n v="1690384212"/>
    <d v="2023-07-26T15:10:12"/>
    <m/>
    <n v="0"/>
    <s v="Prefers email %"/>
    <s v="Prefers email "/>
  </r>
  <r>
    <n v="1290"/>
    <s v="Renée Dupont"/>
    <s v="Renée Dupont"/>
    <s v="Renée Dupont"/>
    <n v="54"/>
    <n v="54"/>
    <x v="3"/>
    <s v="United States"/>
    <s v="2023-06-09T00:00:00Z"/>
    <s v="2023-06-09"/>
    <x v="10"/>
    <n v="1702462710"/>
    <d v="2023-12-13T10:18:30"/>
    <m/>
    <n v="0"/>
    <s v="Great customer $$$"/>
    <s v="Great customer "/>
  </r>
  <r>
    <n v="1267"/>
    <s v="John Smith"/>
    <s v="John Smith"/>
    <s v="John Smith"/>
    <n v="61"/>
    <n v="61"/>
    <x v="13"/>
    <s v="China"/>
    <s v="2023-01-28"/>
    <s v="2023-01-28"/>
    <x v="7"/>
    <n v="1686833815"/>
    <d v="2023-06-15T12:56:55"/>
    <m/>
    <n v="0"/>
    <s v="Holiday signup %"/>
    <s v="Holiday signup "/>
  </r>
  <r>
    <n v="1729"/>
    <s v="Fatima Ali"/>
    <s v="Fatima Ali"/>
    <s v="Fatima Ali"/>
    <n v="63"/>
    <n v="63"/>
    <x v="9"/>
    <s v="Ireland"/>
    <s v="February 10 2023"/>
    <s v="2023-02-10"/>
    <x v="2"/>
    <n v="1691575847"/>
    <d v="2023-08-09T10:10:47"/>
    <m/>
    <n v="0"/>
    <s v="Prefers email %"/>
    <s v="Prefers email "/>
  </r>
  <r>
    <n v="1934"/>
    <s v="Fatima Ali"/>
    <s v="Fatima Ali"/>
    <s v="Fatima Ali"/>
    <m/>
    <n v="43"/>
    <x v="4"/>
    <s v="Spain"/>
    <s v="04/25/2023"/>
    <s v="2023-04-25"/>
    <x v="4"/>
    <n v="1701417596"/>
    <d v="2023-12-01T07:59:56"/>
    <m/>
    <n v="0"/>
    <s v="Newsletter subscriber %"/>
    <s v="Newsletter subscriber "/>
  </r>
  <r>
    <n v="1803"/>
    <s v="Sarah Johnson"/>
    <s v="Sarah Johnson"/>
    <s v="Sarah Johnson"/>
    <m/>
    <n v="43"/>
    <x v="12"/>
    <s v="South Korea"/>
    <s v="2023-09-07"/>
    <s v="2023-09-07"/>
    <x v="5"/>
    <n v="1674717292"/>
    <d v="2023-01-26T07:14:52"/>
    <m/>
    <n v="0"/>
    <s v="Regular shopper"/>
    <s v="Regular shopper"/>
  </r>
  <r>
    <n v="1945"/>
    <s v=" Sarah Johnson "/>
    <s v="Sarah Johnson"/>
    <s v=" Sarah Johnson "/>
    <n v="56"/>
    <n v="56"/>
    <x v="0"/>
    <s v="United Kingdom"/>
    <s v="2023-09-18"/>
    <s v="2023-09-18"/>
    <x v="5"/>
    <n v="1686136562"/>
    <d v="2023-06-07T11:16:02"/>
    <n v="1228.1500000000001"/>
    <n v="1228.1500000000001"/>
    <s v="Newsletter subscriber %"/>
    <s v="Newsletter subscriber "/>
  </r>
  <r>
    <n v="1787"/>
    <s v="Li Wei"/>
    <s v="Li Wei"/>
    <s v="Li Wei"/>
    <m/>
    <n v="43"/>
    <x v="5"/>
    <s v="UAE"/>
    <s v="18-10-2023"/>
    <s v="2023-10-18"/>
    <x v="3"/>
    <n v="1690795290"/>
    <d v="2023-07-31T09:21:30"/>
    <n v="1044.26"/>
    <n v="1044.26"/>
    <s v="Prefers email %"/>
    <s v="Prefers email "/>
  </r>
  <r>
    <n v="2176"/>
    <s v=" Isabella Martinez "/>
    <s v="Isabella Martinez"/>
    <s v=" Isabella Martinez "/>
    <m/>
    <n v="43"/>
    <x v="9"/>
    <s v="Ireland"/>
    <s v="February 19 2023"/>
    <s v="2023-02-19"/>
    <x v="2"/>
    <n v="1678435418"/>
    <d v="2023-03-10T08:03:38"/>
    <m/>
    <n v="0"/>
    <s v="Prefers email %"/>
    <s v="Prefers email "/>
  </r>
  <r>
    <n v="1223"/>
    <s v="Zoë Kravitz"/>
    <s v="Zoë Kravitz"/>
    <s v="Zoë Kravitz"/>
    <m/>
    <n v="43"/>
    <x v="3"/>
    <s v="United States"/>
    <s v="02/16/2023"/>
    <s v="2023-02-16"/>
    <x v="2"/>
    <n v="1699939098"/>
    <d v="2023-11-14T05:18:18"/>
    <n v="216.99"/>
    <n v="216.99"/>
    <s v="Frequent buyer ñ"/>
    <s v="Frequent buyer n"/>
  </r>
  <r>
    <n v="1306"/>
    <s v="Ethan Clark"/>
    <s v="Ethan Clark"/>
    <s v="Ethan Clark"/>
    <n v="57"/>
    <n v="57"/>
    <x v="12"/>
    <s v="South Korea"/>
    <s v="04/11/2023"/>
    <s v="2023-04-11"/>
    <x v="4"/>
    <n v="1695391908"/>
    <d v="2023-09-22T14:11:48"/>
    <m/>
    <n v="0"/>
    <s v="Holiday signup %"/>
    <s v="Holiday signup "/>
  </r>
  <r>
    <n v="1757"/>
    <s v="Chloe Dubois"/>
    <s v="Chloe Dubois"/>
    <s v="Chloe Dubois"/>
    <n v="63"/>
    <n v="63"/>
    <x v="14"/>
    <s v="Italy"/>
    <s v="26-02-2023"/>
    <s v="2023-02-26"/>
    <x v="2"/>
    <n v="1701571388"/>
    <d v="2023-12-03T02:43:08"/>
    <m/>
    <n v="0"/>
    <s v="Holiday signup %"/>
    <s v="Holiday signup "/>
  </r>
  <r>
    <n v="1808"/>
    <s v="Liam O’Connor"/>
    <s v="Liam O’Connor"/>
    <s v="Liam O’Connor"/>
    <m/>
    <n v="43"/>
    <x v="5"/>
    <s v="UAE"/>
    <s v="10/07/2023"/>
    <s v="2023-10-07"/>
    <x v="3"/>
    <n v="1694753393"/>
    <d v="2023-09-15T04:49:53"/>
    <n v="268.38"/>
    <n v="268.38"/>
    <s v="VIP client $$$"/>
    <s v="VIP client "/>
  </r>
  <r>
    <n v="2138"/>
    <s v="Noah Martin"/>
    <s v="Noah Martin"/>
    <s v="Noah Martin"/>
    <n v="41"/>
    <n v="41"/>
    <x v="11"/>
    <s v="Mexico"/>
    <s v="12/10/2023"/>
    <s v="2023-12-10"/>
    <x v="0"/>
    <n v="1677029603"/>
    <d v="2023-02-22T01:33:23"/>
    <n v="27.29"/>
    <n v="27.29"/>
    <s v="Frequent buyer ñ"/>
    <s v="Frequent buyer n"/>
  </r>
  <r>
    <n v="2044"/>
    <s v="Sofia Rossi"/>
    <s v="Sofia Rossi"/>
    <s v="Sofia Rossi"/>
    <m/>
    <n v="43"/>
    <x v="4"/>
    <s v="Spain"/>
    <s v="April 06 2023"/>
    <s v="2023-04-06"/>
    <x v="4"/>
    <n v="1692810112"/>
    <d v="2023-08-23T17:01:52"/>
    <m/>
    <n v="0"/>
    <s v="VIP client $$$"/>
    <s v="VIP client "/>
  </r>
  <r>
    <n v="2028"/>
    <s v="Akira Tanaka"/>
    <s v="Akira Tanaka"/>
    <s v="Akira Tanaka"/>
    <m/>
    <n v="43"/>
    <x v="3"/>
    <s v="United States"/>
    <s v="2023-01-20T00:00:00Z"/>
    <s v="2023-01-20"/>
    <x v="7"/>
    <n v="1688739787"/>
    <d v="2023-07-07T14:23:07"/>
    <n v="1060.27"/>
    <n v="1060.27"/>
    <s v="Holiday signup %"/>
    <s v="Holiday signup "/>
  </r>
  <r>
    <n v="1968"/>
    <s v="Liam O’Connor"/>
    <s v="Liam O’Connor"/>
    <s v="Liam O’Connor"/>
    <n v="22"/>
    <n v="22"/>
    <x v="9"/>
    <s v="Ireland"/>
    <s v="24-10-2023"/>
    <s v="2023-10-24"/>
    <x v="3"/>
    <n v="1693094179"/>
    <d v="2023-08-26T23:56:19"/>
    <m/>
    <n v="0"/>
    <s v="Corporate account"/>
    <s v="Corporate account"/>
  </r>
  <r>
    <n v="1023"/>
    <s v="Isabella Martinez"/>
    <s v="Isabella Martinez"/>
    <s v="Isabella Martinez"/>
    <n v="54"/>
    <n v="54"/>
    <x v="2"/>
    <s v="Japan"/>
    <s v="04-08-2023"/>
    <s v="2023-04-08"/>
    <x v="4"/>
    <n v="1699307926"/>
    <d v="2023-11-06T21:58:46"/>
    <n v="448.98"/>
    <n v="448.98"/>
    <s v="Great customer $$$"/>
    <s v="Great customer "/>
  </r>
  <r>
    <n v="1623"/>
    <s v="André Santos"/>
    <s v="André Santos"/>
    <s v="André Santos"/>
    <n v="21"/>
    <n v="21"/>
    <x v="8"/>
    <s v="Egypt"/>
    <s v="10/24/2023"/>
    <s v="2023-10-24"/>
    <x v="3"/>
    <n v="1691745991"/>
    <d v="2023-08-11T09:26:31"/>
    <m/>
    <n v="0"/>
    <s v="Holiday signup %"/>
    <s v="Holiday signup "/>
  </r>
  <r>
    <n v="1056"/>
    <s v="Fatima Ali"/>
    <s v="Fatima Ali"/>
    <s v="Fatima Ali"/>
    <n v="26"/>
    <n v="26"/>
    <x v="7"/>
    <s v="Brazil"/>
    <s v="05/10/2023"/>
    <s v="2023-05-10"/>
    <x v="9"/>
    <n v="1693186744"/>
    <d v="2023-08-28T01:39:04"/>
    <m/>
    <n v="0"/>
    <s v="Great customer $$$"/>
    <s v="Great customer "/>
  </r>
  <r>
    <n v="1976"/>
    <s v="André Santos"/>
    <s v="André Santos"/>
    <s v="André Santos"/>
    <m/>
    <n v="43"/>
    <x v="13"/>
    <s v="China"/>
    <s v="31-08-2023"/>
    <s v="2023-08-31"/>
    <x v="11"/>
    <n v="1677394420"/>
    <d v="2023-02-26T06:53:40"/>
    <m/>
    <n v="0"/>
    <s v="Great customer $$$"/>
    <s v="Great customer "/>
  </r>
  <r>
    <n v="1592"/>
    <s v="Ethan Clark"/>
    <s v="Ethan Clark"/>
    <s v="Ethan Clark"/>
    <n v="51"/>
    <n v="51"/>
    <x v="3"/>
    <s v="United States"/>
    <s v="2023-02-19T00:00:00Z"/>
    <s v="2023-02-19"/>
    <x v="2"/>
    <n v="1693912405"/>
    <d v="2023-09-05T11:13:25"/>
    <m/>
    <n v="0"/>
    <s v="Holiday signup %"/>
    <s v="Holiday signup "/>
  </r>
  <r>
    <n v="1692"/>
    <s v="Zoë Kravitz"/>
    <s v="Zoë Kravitz"/>
    <s v="Zoë Kravitz"/>
    <n v="38"/>
    <n v="38"/>
    <x v="3"/>
    <s v="United States"/>
    <s v="2023-12-11"/>
    <s v="2023-12-11"/>
    <x v="0"/>
    <n v="1700430868"/>
    <d v="2023-11-19T21:54:28"/>
    <m/>
    <n v="0"/>
    <s v="Prefers email %"/>
    <s v="Prefers email "/>
  </r>
  <r>
    <n v="2076"/>
    <s v="Anne Müller"/>
    <s v="Anne Müller"/>
    <s v="Anne Müller"/>
    <n v="32"/>
    <n v="32"/>
    <x v="11"/>
    <s v="Mexico"/>
    <s v="05/09/2023"/>
    <s v="2023-05-09"/>
    <x v="9"/>
    <n v="1673666252"/>
    <d v="2023-01-14T03:17:32"/>
    <n v="45.31"/>
    <n v="45.31"/>
    <s v="Great customer $$$"/>
    <s v="Great customer "/>
  </r>
  <r>
    <n v="1445"/>
    <s v="Mia Thompson"/>
    <s v="Mia Thompson"/>
    <s v="Mia Thompson"/>
    <n v="63"/>
    <n v="63"/>
    <x v="0"/>
    <s v="United Kingdom"/>
    <s v="2023-07-12T00:00:00Z"/>
    <s v="2023-07-12"/>
    <x v="8"/>
    <n v="1699474921"/>
    <d v="2023-11-08T20:22:01"/>
    <n v="1451.08"/>
    <n v="1451.08"/>
    <s v="Frequent buyer ñ"/>
    <s v="Frequent buyer n"/>
  </r>
  <r>
    <n v="1519"/>
    <s v="Fatima Ali"/>
    <s v="Fatima Ali"/>
    <s v="Fatima Ali"/>
    <m/>
    <n v="43"/>
    <x v="7"/>
    <s v="Brazil"/>
    <s v="07-08-2023"/>
    <s v="2023-07-08"/>
    <x v="8"/>
    <n v="1681158783"/>
    <d v="2023-04-10T20:33:03"/>
    <n v="251.33"/>
    <n v="251.33"/>
    <s v="Student account"/>
    <s v="Student account"/>
  </r>
  <r>
    <n v="1128"/>
    <s v="Noah Martin"/>
    <s v="Noah Martin"/>
    <s v="Noah Martin"/>
    <m/>
    <n v="43"/>
    <x v="6"/>
    <s v="France"/>
    <s v="2023-08-14"/>
    <s v="2023-08-14"/>
    <x v="11"/>
    <n v="1689023445"/>
    <d v="2023-07-10T21:10:45"/>
    <n v="1469.34"/>
    <n v="1469.34"/>
    <s v="Holiday signup %"/>
    <s v="Holiday signup "/>
  </r>
  <r>
    <n v="1805"/>
    <s v="Sarah Johnson"/>
    <s v="Sarah Johnson"/>
    <s v="Sarah Johnson"/>
    <n v="27"/>
    <n v="27"/>
    <x v="5"/>
    <s v="UAE"/>
    <s v="2023-04-22T00:00:00Z"/>
    <s v="2023-04-22"/>
    <x v="4"/>
    <n v="1694110846"/>
    <d v="2023-09-07T18:20:46"/>
    <m/>
    <n v="0"/>
    <s v="Student account"/>
    <s v="Student account"/>
  </r>
  <r>
    <n v="1212"/>
    <s v=" Maria Lopez "/>
    <s v="Maria Lopez"/>
    <s v=" Maria Lopez "/>
    <m/>
    <n v="43"/>
    <x v="12"/>
    <s v="South Korea"/>
    <s v="January 10 2023"/>
    <s v="2023-01-10"/>
    <x v="7"/>
    <n v="1677518720"/>
    <d v="2023-02-27T17:25:20"/>
    <n v="982.77"/>
    <n v="982.77"/>
    <s v="Great customer $$$"/>
    <s v="Great customer "/>
  </r>
  <r>
    <n v="1800"/>
    <s v=" Akira Tanaka "/>
    <s v="Akira Tanaka"/>
    <s v=" Akira Tanaka "/>
    <n v="43"/>
    <n v="43"/>
    <x v="3"/>
    <s v="United States"/>
    <s v="September 21 2023"/>
    <s v="2023-09-21"/>
    <x v="5"/>
    <n v="1688567696"/>
    <d v="2023-07-05T14:34:56"/>
    <n v="659.73"/>
    <n v="659.73"/>
    <s v="Corporate account"/>
    <s v="Corporate account"/>
  </r>
  <r>
    <n v="1463"/>
    <s v="John Smith"/>
    <s v="John Smith"/>
    <s v="John Smith"/>
    <n v="62"/>
    <n v="62"/>
    <x v="9"/>
    <s v="Ireland"/>
    <s v="03-07-2023"/>
    <s v="2023-03-07"/>
    <x v="6"/>
    <n v="1695402610"/>
    <d v="2023-09-22T17:10:10"/>
    <n v="461.21"/>
    <n v="461.21"/>
    <s v="Prefers email %"/>
    <s v="Prefers email "/>
  </r>
  <r>
    <n v="1613"/>
    <s v="Renée Dupont"/>
    <s v="Renée Dupont"/>
    <s v="Renée Dupont"/>
    <n v="58"/>
    <n v="58"/>
    <x v="14"/>
    <s v="Italy"/>
    <s v="2023-09-07"/>
    <s v="2023-09-07"/>
    <x v="5"/>
    <n v="1702226858"/>
    <d v="2023-12-10T16:47:38"/>
    <n v="952.86"/>
    <n v="952.86"/>
    <s v="Frequent buyer ñ"/>
    <s v="Frequent buyer n"/>
  </r>
  <r>
    <n v="1478"/>
    <s v=" Li Wei "/>
    <s v="Li Wei"/>
    <s v=" Li Wei "/>
    <n v="49"/>
    <n v="49"/>
    <x v="3"/>
    <s v="United States"/>
    <s v="2023-08-30T00:00:00Z"/>
    <s v="2023-08-30"/>
    <x v="11"/>
    <n v="1674060849"/>
    <d v="2023-01-18T16:54:09"/>
    <n v="371.6"/>
    <n v="371.6"/>
    <s v="Great customer $$$"/>
    <s v="Great customer "/>
  </r>
  <r>
    <n v="1452"/>
    <s v="Li Wei"/>
    <s v="Li Wei"/>
    <s v="Li Wei"/>
    <n v="39"/>
    <n v="39"/>
    <x v="13"/>
    <s v="China"/>
    <s v="2023-06-16"/>
    <s v="2023-06-16"/>
    <x v="10"/>
    <n v="1695478197"/>
    <d v="2023-09-23T14:09:57"/>
    <n v="868.19"/>
    <n v="868.19"/>
    <s v="Newsletter subscriber %"/>
    <s v="Newsletter subscriber "/>
  </r>
  <r>
    <n v="1437"/>
    <s v=" Björn Larsson "/>
    <s v="Björn Larsson"/>
    <s v=" Björn Larsson "/>
    <n v="29"/>
    <n v="29"/>
    <x v="0"/>
    <s v="United Kingdom"/>
    <s v="05/21/2023"/>
    <s v="2023-05-21"/>
    <x v="9"/>
    <n v="1697943162"/>
    <d v="2023-10-22T02:52:42"/>
    <m/>
    <n v="0"/>
    <s v="Corporate account"/>
    <s v="Corporate account"/>
  </r>
  <r>
    <n v="1338"/>
    <s v=" Ethan Clark "/>
    <s v="Ethan Clark"/>
    <s v=" Ethan Clark "/>
    <n v="55"/>
    <n v="55"/>
    <x v="0"/>
    <s v="United Kingdom"/>
    <s v="2023-11-20T00:00:00Z"/>
    <s v="2023-11-20"/>
    <x v="1"/>
    <n v="1685144863"/>
    <d v="2023-05-26T23:47:43"/>
    <n v="1168.72"/>
    <n v="1168.72"/>
    <s v="Regular shopper"/>
    <s v="Regular shopper"/>
  </r>
  <r>
    <n v="1166"/>
    <s v=" John Smith "/>
    <s v="John Smith"/>
    <s v=" John Smith "/>
    <n v="63"/>
    <n v="63"/>
    <x v="11"/>
    <s v="Mexico"/>
    <s v="August 02 2023"/>
    <s v="2023-08-02"/>
    <x v="11"/>
    <n v="1695755690"/>
    <d v="2023-09-26T19:14:50"/>
    <n v="199.07"/>
    <n v="199.07"/>
    <s v="Student account"/>
    <s v="Student account"/>
  </r>
  <r>
    <n v="1713"/>
    <s v=" Sofia Rossi "/>
    <s v="Sofia Rossi"/>
    <s v=" Sofia Rossi "/>
    <n v="33"/>
    <n v="33"/>
    <x v="10"/>
    <s v="Sweden"/>
    <s v="2023-02-18T00:00:00Z"/>
    <s v="2023-02-18"/>
    <x v="2"/>
    <n v="1684667392"/>
    <d v="2023-05-21T11:09:52"/>
    <n v="1295.47"/>
    <n v="1295.47"/>
    <s v="Regular shopper"/>
    <s v="Regular shopper"/>
  </r>
  <r>
    <n v="1746"/>
    <s v=" Fatima Ali "/>
    <s v="Fatima Ali"/>
    <s v=" Fatima Ali "/>
    <n v="39"/>
    <n v="39"/>
    <x v="12"/>
    <s v="South Korea"/>
    <s v="2023-01-23"/>
    <s v="2023-01-23"/>
    <x v="7"/>
    <n v="1697368268"/>
    <d v="2023-10-15T11:11:08"/>
    <n v="88.16"/>
    <n v="88.16"/>
    <s v="Frequent buyer ñ"/>
    <s v="Frequent buyer n"/>
  </r>
  <r>
    <n v="1060"/>
    <s v="Isabella Martinez"/>
    <s v="Isabella Martinez"/>
    <s v="Isabella Martinez"/>
    <n v="33"/>
    <n v="33"/>
    <x v="12"/>
    <s v="South Korea"/>
    <s v="2023-10-31T00:00:00Z"/>
    <s v="2023-10-31"/>
    <x v="3"/>
    <n v="1683461815"/>
    <d v="2023-05-07T12:16:55"/>
    <m/>
    <n v="0"/>
    <s v="VIP client $$$"/>
    <s v="VIP client "/>
  </r>
  <r>
    <n v="1226"/>
    <s v=" Lucas Silva "/>
    <s v="Lucas Silva"/>
    <s v=" Lucas Silva "/>
    <m/>
    <n v="43"/>
    <x v="1"/>
    <s v="Germany"/>
    <s v="07/12/2023"/>
    <s v="2023-07-12"/>
    <x v="8"/>
    <n v="1674991247"/>
    <d v="2023-01-29T11:20:47"/>
    <m/>
    <n v="0"/>
    <s v="Great customer $$$"/>
    <s v="Great customer "/>
  </r>
  <r>
    <n v="1415"/>
    <s v=" Lucas Silva "/>
    <s v="Lucas Silva"/>
    <s v=" Lucas Silva "/>
    <n v="62"/>
    <n v="62"/>
    <x v="7"/>
    <s v="Brazil"/>
    <s v="2023-03-11"/>
    <s v="2023-03-11"/>
    <x v="6"/>
    <n v="1701100677"/>
    <d v="2023-11-27T15:57:57"/>
    <m/>
    <n v="0"/>
    <s v="Frequent buyer ñ"/>
    <s v="Frequent buyer n"/>
  </r>
  <r>
    <n v="2002"/>
    <s v="David Brown"/>
    <s v="David Brown"/>
    <s v="David Brown"/>
    <n v="47"/>
    <n v="47"/>
    <x v="5"/>
    <s v="UAE"/>
    <s v="05/07/2023"/>
    <s v="2023-05-07"/>
    <x v="9"/>
    <n v="1683506229"/>
    <d v="2023-05-08T00:37:09"/>
    <n v="657.03"/>
    <n v="657.03"/>
    <s v="Holiday signup %"/>
    <s v="Holiday signup "/>
  </r>
  <r>
    <n v="1927"/>
    <s v=" Isabella Martinez "/>
    <s v="Isabella Martinez"/>
    <s v=" Isabella Martinez "/>
    <n v="18"/>
    <n v="18"/>
    <x v="5"/>
    <s v="UAE"/>
    <s v="04/22/2023"/>
    <s v="2023-04-22"/>
    <x v="4"/>
    <n v="1684550099"/>
    <d v="2023-05-20T02:34:59"/>
    <n v="450.73"/>
    <n v="450.73"/>
    <s v="Great customer $$$"/>
    <s v="Great customer "/>
  </r>
  <r>
    <n v="1983"/>
    <s v="Zoë Kravitz"/>
    <s v="Zoë Kravitz"/>
    <s v="Zoë Kravitz"/>
    <n v="47"/>
    <n v="47"/>
    <x v="3"/>
    <s v="United States"/>
    <s v="August 21 2023"/>
    <s v="2023-08-21"/>
    <x v="11"/>
    <n v="1698422485"/>
    <d v="2023-10-27T16:01:25"/>
    <m/>
    <n v="0"/>
    <s v="Frequent buyer ñ"/>
    <s v="Frequent buyer n"/>
  </r>
  <r>
    <n v="1686"/>
    <s v="Emily Davis"/>
    <s v="Emily Davis"/>
    <s v="Emily Davis"/>
    <n v="48"/>
    <n v="48"/>
    <x v="1"/>
    <s v="Germany"/>
    <s v="26-04-2023"/>
    <s v="2023-04-26"/>
    <x v="4"/>
    <n v="1684359039"/>
    <d v="2023-05-17T21:30:39"/>
    <m/>
    <n v="0"/>
    <s v="Student account"/>
    <s v="Student account"/>
  </r>
  <r>
    <n v="1711"/>
    <s v="Sofia Rossi"/>
    <s v="Sofia Rossi"/>
    <s v="Sofia Rossi"/>
    <m/>
    <n v="43"/>
    <x v="1"/>
    <s v="Germany"/>
    <s v="2023-02-02"/>
    <s v="2023-02-02"/>
    <x v="2"/>
    <n v="1701776542"/>
    <d v="2023-12-05T11:42:22"/>
    <m/>
    <n v="0"/>
    <s v="High engagement"/>
    <s v="High engagement"/>
  </r>
  <r>
    <n v="1352"/>
    <s v=" Akira Tanaka "/>
    <s v="Akira Tanaka"/>
    <s v=" Akira Tanaka "/>
    <n v="41"/>
    <n v="41"/>
    <x v="0"/>
    <s v="United Kingdom"/>
    <s v="30-06-2023"/>
    <s v="2023-06-30"/>
    <x v="10"/>
    <n v="1687822355"/>
    <d v="2023-06-26T23:32:35"/>
    <n v="1434.76"/>
    <n v="1434.76"/>
    <s v="Corporate account"/>
    <s v="Corporate account"/>
  </r>
  <r>
    <n v="1260"/>
    <s v=" Ethan Clark "/>
    <s v="Ethan Clark"/>
    <s v=" Ethan Clark "/>
    <n v="31"/>
    <n v="31"/>
    <x v="3"/>
    <s v="United States"/>
    <s v="07-12-2023"/>
    <s v="2023-07-12"/>
    <x v="8"/>
    <n v="1684061591"/>
    <d v="2023-05-14T10:53:11"/>
    <m/>
    <n v="0"/>
    <s v="Corporate account"/>
    <s v="Corporate account"/>
  </r>
  <r>
    <n v="1333"/>
    <s v="Chloe Dubois"/>
    <s v="Chloe Dubois"/>
    <s v="Chloe Dubois"/>
    <m/>
    <n v="43"/>
    <x v="0"/>
    <s v="United Kingdom"/>
    <s v="23-08-2023"/>
    <s v="2023-08-23"/>
    <x v="11"/>
    <n v="1677760278"/>
    <d v="2023-03-02T12:31:18"/>
    <m/>
    <n v="0"/>
    <s v="Student account"/>
    <s v="Student account"/>
  </r>
  <r>
    <n v="2129"/>
    <s v="Anne Müller"/>
    <s v="Anne Müller"/>
    <s v="Anne Müller"/>
    <n v="43"/>
    <n v="43"/>
    <x v="12"/>
    <s v="South Korea"/>
    <s v="2023-07-02"/>
    <s v="2023-07-02"/>
    <x v="8"/>
    <n v="1683475041"/>
    <d v="2023-05-07T15:57:21"/>
    <n v="92"/>
    <n v="92"/>
    <s v="Holiday signup %"/>
    <s v="Holiday signup "/>
  </r>
  <r>
    <n v="2079"/>
    <s v="Emily Davis"/>
    <s v="Emily Davis"/>
    <s v="Emily Davis"/>
    <n v="35"/>
    <n v="35"/>
    <x v="3"/>
    <s v="United States"/>
    <s v="October 03 2023"/>
    <s v="2023-10-03"/>
    <x v="3"/>
    <n v="1695242477"/>
    <d v="2023-09-20T20:41:17"/>
    <n v="1010.62"/>
    <n v="1010.62"/>
    <s v="Corporate account"/>
    <s v="Corporate account"/>
  </r>
  <r>
    <n v="1791"/>
    <s v=" Olivia Wilson "/>
    <s v="Olivia Wilson"/>
    <s v=" Olivia Wilson "/>
    <m/>
    <n v="43"/>
    <x v="12"/>
    <s v="South Korea"/>
    <s v="2023-10-15"/>
    <s v="2023-10-15"/>
    <x v="3"/>
    <n v="1679761528"/>
    <d v="2023-03-25T16:25:28"/>
    <m/>
    <n v="0"/>
    <s v="High engagement"/>
    <s v="High engagement"/>
  </r>
  <r>
    <n v="1973"/>
    <s v="Ahmed Hassan"/>
    <s v="Ahmed Hassan"/>
    <s v="Ahmed Hassan"/>
    <m/>
    <n v="43"/>
    <x v="3"/>
    <s v="United States"/>
    <s v="January 04 2023"/>
    <s v="2023-01-04"/>
    <x v="7"/>
    <n v="1693958772"/>
    <d v="2023-09-06T00:06:12"/>
    <m/>
    <n v="0"/>
    <s v="Frequent buyer ñ"/>
    <s v="Frequent buyer n"/>
  </r>
  <r>
    <n v="1590"/>
    <s v=" Sofia Rossi "/>
    <s v="Sofia Rossi"/>
    <s v=" Sofia Rossi "/>
    <n v="62"/>
    <n v="62"/>
    <x v="3"/>
    <s v="United States"/>
    <s v="03-03-2023"/>
    <s v="2023-03-03"/>
    <x v="6"/>
    <n v="1689068020"/>
    <d v="2023-07-11T09:33:40"/>
    <n v="1491.56"/>
    <n v="1491.56"/>
    <s v="Holiday signup %"/>
    <s v="Holiday signup "/>
  </r>
  <r>
    <n v="1741"/>
    <s v="Daniel Kim"/>
    <s v="Daniel Kim"/>
    <s v="Daniel Kim"/>
    <n v="34"/>
    <n v="34"/>
    <x v="8"/>
    <s v="Egypt"/>
    <s v="2023-12-22"/>
    <s v="2023-12-22"/>
    <x v="0"/>
    <n v="1685046588"/>
    <d v="2023-05-25T20:29:48"/>
    <n v="773.66"/>
    <n v="773.66"/>
    <s v="Student account"/>
    <s v="Student account"/>
  </r>
  <r>
    <n v="1334"/>
    <s v=" Daniel Kim "/>
    <s v="Daniel Kim"/>
    <s v=" Daniel Kim "/>
    <n v="47"/>
    <n v="47"/>
    <x v="0"/>
    <s v="United Kingdom"/>
    <s v="07/02/2023"/>
    <s v="2023-07-02"/>
    <x v="8"/>
    <n v="1674298637"/>
    <d v="2023-01-21T10:57:17"/>
    <m/>
    <n v="0"/>
    <s v="Newsletter subscriber %"/>
    <s v="Newsletter subscriber "/>
  </r>
  <r>
    <n v="1100"/>
    <s v=" Fatima Ali "/>
    <s v="Fatima Ali"/>
    <s v=" Fatima Ali "/>
    <n v="22"/>
    <n v="22"/>
    <x v="1"/>
    <s v="Germany"/>
    <s v="11/18/2023"/>
    <s v="2023-11-18"/>
    <x v="1"/>
    <n v="1698182717"/>
    <d v="2023-10-24T21:25:17"/>
    <n v="150.82"/>
    <n v="150.82"/>
    <s v="Corporate account"/>
    <s v="Corporate account"/>
  </r>
  <r>
    <n v="1661"/>
    <s v="Lucas Silva"/>
    <s v="Lucas Silva"/>
    <s v="Lucas Silva"/>
    <m/>
    <n v="43"/>
    <x v="14"/>
    <s v="Italy"/>
    <s v="2023-02-19T00:00:00Z"/>
    <s v="2023-02-19"/>
    <x v="2"/>
    <n v="1691987135"/>
    <d v="2023-08-14T04:25:35"/>
    <n v="533.92999999999995"/>
    <n v="533.92999999999995"/>
    <s v="Great customer $$$"/>
    <s v="Great customer "/>
  </r>
  <r>
    <n v="1281"/>
    <s v=" Ahmed Hassan "/>
    <s v="Ahmed Hassan"/>
    <s v=" Ahmed Hassan "/>
    <m/>
    <n v="43"/>
    <x v="6"/>
    <s v="France"/>
    <s v="02/22/2023"/>
    <s v="2023-02-22"/>
    <x v="2"/>
    <n v="1677710002"/>
    <d v="2023-03-01T22:33:22"/>
    <n v="760.04"/>
    <n v="760.04"/>
    <s v="Corporate account"/>
    <s v="Corporate account"/>
  </r>
  <r>
    <n v="2077"/>
    <s v="Chloe Dubois"/>
    <s v="Chloe Dubois"/>
    <s v="Chloe Dubois"/>
    <m/>
    <n v="43"/>
    <x v="12"/>
    <s v="South Korea"/>
    <s v="2023-02-09"/>
    <s v="2023-02-09"/>
    <x v="2"/>
    <n v="1699999870"/>
    <d v="2023-11-14T22:11:10"/>
    <n v="205.54"/>
    <n v="205.54"/>
    <s v="Regular shopper"/>
    <s v="Regular shopper"/>
  </r>
  <r>
    <n v="1714"/>
    <s v="Fatima Ali"/>
    <s v="Fatima Ali"/>
    <s v="Fatima Ali"/>
    <n v="46"/>
    <n v="46"/>
    <x v="10"/>
    <s v="Sweden"/>
    <s v="06/25/2023"/>
    <s v="2023-06-25"/>
    <x v="10"/>
    <n v="1696344119"/>
    <d v="2023-10-03T14:41:59"/>
    <n v="463.98"/>
    <n v="463.98"/>
    <s v="VIP client $$$"/>
    <s v="VIP client "/>
  </r>
  <r>
    <n v="1264"/>
    <s v=" Renée Dupont "/>
    <s v="Renée Dupont"/>
    <s v=" Renée Dupont "/>
    <n v="32"/>
    <n v="32"/>
    <x v="1"/>
    <s v="Germany"/>
    <s v="2023-03-08"/>
    <s v="2023-03-08"/>
    <x v="6"/>
    <n v="1686778092"/>
    <d v="2023-06-14T21:28:12"/>
    <n v="1039.32"/>
    <n v="1039.32"/>
    <s v="Prefers email %"/>
    <s v="Prefers email "/>
  </r>
  <r>
    <n v="1089"/>
    <s v="Li Wei"/>
    <s v="Li Wei"/>
    <s v="Li Wei"/>
    <n v="18"/>
    <n v="18"/>
    <x v="1"/>
    <s v="Germany"/>
    <s v="10/28/2023"/>
    <s v="2023-10-28"/>
    <x v="3"/>
    <n v="1678724249"/>
    <d v="2023-03-13T16:17:29"/>
    <n v="1009.19"/>
    <n v="1009.19"/>
    <s v="Prefers email %"/>
    <s v="Prefers email "/>
  </r>
  <r>
    <n v="1299"/>
    <s v="André Santos"/>
    <s v="André Santos"/>
    <s v="André Santos"/>
    <m/>
    <n v="43"/>
    <x v="6"/>
    <s v="France"/>
    <s v="2023-09-14T00:00:00Z"/>
    <s v="2023-09-14"/>
    <x v="5"/>
    <n v="1680638217"/>
    <d v="2023-04-04T19:56:57"/>
    <n v="762.31"/>
    <n v="762.31"/>
    <s v="Prefers email %"/>
    <s v="Prefers email "/>
  </r>
  <r>
    <n v="2185"/>
    <s v=" Björn Larsson "/>
    <s v="Björn Larsson"/>
    <s v=" Björn Larsson "/>
    <n v="31"/>
    <n v="31"/>
    <x v="11"/>
    <s v="Mexico"/>
    <s v="2023-03-29T00:00:00Z"/>
    <s v="2023-03-29"/>
    <x v="6"/>
    <n v="1672669254"/>
    <d v="2023-01-02T14:20:54"/>
    <n v="1460.63"/>
    <n v="1460.63"/>
    <s v="VIP client $$$"/>
    <s v="VIP client "/>
  </r>
  <r>
    <n v="2033"/>
    <s v="Renée Dupont"/>
    <s v="Renée Dupont"/>
    <s v="Renée Dupont"/>
    <n v="62"/>
    <n v="62"/>
    <x v="12"/>
    <s v="South Korea"/>
    <s v="2023-12-11"/>
    <s v="2023-12-11"/>
    <x v="0"/>
    <n v="1678592269"/>
    <d v="2023-03-12T03:37:49"/>
    <m/>
    <n v="0"/>
    <s v="High engagement"/>
    <s v="High engagement"/>
  </r>
  <r>
    <n v="1439"/>
    <s v=" Ahmed Hassan "/>
    <s v="Ahmed Hassan"/>
    <s v=" Ahmed Hassan "/>
    <n v="25"/>
    <n v="25"/>
    <x v="12"/>
    <s v="South Korea"/>
    <s v="2023-02-26T00:00:00Z"/>
    <s v="2023-02-26"/>
    <x v="2"/>
    <n v="1677084462"/>
    <d v="2023-02-22T16:47:42"/>
    <m/>
    <n v="0"/>
    <s v="Student account"/>
    <s v="Student account"/>
  </r>
  <r>
    <n v="2192"/>
    <s v=" Daniel Kim "/>
    <s v="Daniel Kim"/>
    <s v=" Daniel Kim "/>
    <m/>
    <n v="43"/>
    <x v="8"/>
    <s v="Egypt"/>
    <s v="2023-12-08T00:00:00Z"/>
    <s v="2023-12-08"/>
    <x v="0"/>
    <n v="1686094875"/>
    <d v="2023-06-06T23:41:15"/>
    <m/>
    <n v="0"/>
    <s v="Frequent buyer ñ"/>
    <s v="Frequent buyer n"/>
  </r>
  <r>
    <n v="1932"/>
    <s v=" Anne Müller "/>
    <s v="Anne Müller"/>
    <s v=" Anne Müller "/>
    <n v="49"/>
    <n v="49"/>
    <x v="0"/>
    <s v="United Kingdom"/>
    <s v="2023-01-16"/>
    <s v="2023-01-16"/>
    <x v="7"/>
    <n v="1697280404"/>
    <d v="2023-10-14T10:46:44"/>
    <n v="88.75"/>
    <n v="88.75"/>
    <s v="Regular shopper"/>
    <s v="Regular shopper"/>
  </r>
  <r>
    <n v="1055"/>
    <s v="Sarah Johnson"/>
    <s v="Sarah Johnson"/>
    <s v="Sarah Johnson"/>
    <n v="61"/>
    <n v="61"/>
    <x v="11"/>
    <s v="Mexico"/>
    <s v="2023-11-15T00:00:00Z"/>
    <s v="2023-11-15"/>
    <x v="1"/>
    <n v="1675756420"/>
    <d v="2023-02-07T07:53:40"/>
    <m/>
    <n v="0"/>
    <s v="Regular shopper"/>
    <s v="Regular shopper"/>
  </r>
  <r>
    <n v="1244"/>
    <s v="Noah Martin"/>
    <s v="Noah Martin"/>
    <s v="Noah Martin"/>
    <m/>
    <n v="43"/>
    <x v="3"/>
    <s v="United States"/>
    <s v="01/17/2023"/>
    <s v="2023-01-17"/>
    <x v="7"/>
    <n v="1691202629"/>
    <d v="2023-08-05T02:30:29"/>
    <m/>
    <n v="0"/>
    <s v="Frequent buyer ñ"/>
    <s v="Frequent buyer n"/>
  </r>
  <r>
    <n v="2007"/>
    <s v=" Sofia Rossi "/>
    <s v="Sofia Rossi"/>
    <s v=" Sofia Rossi "/>
    <m/>
    <n v="43"/>
    <x v="0"/>
    <s v="United Kingdom"/>
    <s v="October 19 2023"/>
    <s v="2023-10-19"/>
    <x v="3"/>
    <n v="1694672562"/>
    <d v="2023-09-14T06:22:42"/>
    <m/>
    <n v="0"/>
    <s v="Regular shopper"/>
    <s v="Regular shopper"/>
  </r>
  <r>
    <n v="2152"/>
    <s v="Sarah Johnson"/>
    <s v="Sarah Johnson"/>
    <s v="Sarah Johnson"/>
    <m/>
    <n v="43"/>
    <x v="13"/>
    <s v="China"/>
    <s v="12-11-2023"/>
    <s v="2023-12-11"/>
    <x v="0"/>
    <n v="1698242491"/>
    <d v="2023-10-25T14:01:31"/>
    <m/>
    <n v="0"/>
    <s v="Great customer $$$"/>
    <s v="Great customer "/>
  </r>
  <r>
    <n v="1058"/>
    <s v=" Daniel Kim "/>
    <s v="Daniel Kim"/>
    <s v=" Daniel Kim "/>
    <n v="40"/>
    <n v="40"/>
    <x v="3"/>
    <s v="United States"/>
    <s v="17-11-2023"/>
    <s v="2023-11-17"/>
    <x v="1"/>
    <n v="1685293923"/>
    <d v="2023-05-28T17:12:03"/>
    <m/>
    <n v="0"/>
    <s v="Newsletter subscriber %"/>
    <s v="Newsletter subscriber "/>
  </r>
  <r>
    <n v="1046"/>
    <s v="Lucas Silva"/>
    <s v="Lucas Silva"/>
    <s v="Lucas Silva"/>
    <n v="38"/>
    <n v="38"/>
    <x v="0"/>
    <s v="United Kingdom"/>
    <s v="2023-09-08"/>
    <s v="2023-09-08"/>
    <x v="5"/>
    <n v="1695705547"/>
    <d v="2023-09-26T05:19:07"/>
    <m/>
    <n v="0"/>
    <s v="Regular shopper"/>
    <s v="Regular shopper"/>
  </r>
  <r>
    <n v="1690"/>
    <s v=" Akira Tanaka "/>
    <s v="Akira Tanaka"/>
    <s v=" Akira Tanaka "/>
    <m/>
    <n v="43"/>
    <x v="1"/>
    <s v="Germany"/>
    <s v="2023-06-27"/>
    <s v="2023-06-27"/>
    <x v="10"/>
    <n v="1694385947"/>
    <d v="2023-09-10T22:45:47"/>
    <m/>
    <n v="0"/>
    <s v="High engagement"/>
    <s v="High engagement"/>
  </r>
  <r>
    <n v="2023"/>
    <s v="David Brown"/>
    <s v="David Brown"/>
    <s v="David Brown"/>
    <m/>
    <n v="43"/>
    <x v="9"/>
    <s v="Ireland"/>
    <s v="November 11 2023"/>
    <s v="2023-11-11"/>
    <x v="1"/>
    <n v="1703885177"/>
    <d v="2023-12-29T21:26:17"/>
    <n v="853.51"/>
    <n v="853.51"/>
    <s v="Corporate account"/>
    <s v="Corporate account"/>
  </r>
  <r>
    <n v="1636"/>
    <s v="Ethan Clark"/>
    <s v="Ethan Clark"/>
    <s v="Ethan Clark"/>
    <n v="45"/>
    <n v="45"/>
    <x v="3"/>
    <s v="United States"/>
    <s v="04/14/2023"/>
    <s v="2023-04-14"/>
    <x v="4"/>
    <n v="1681674695"/>
    <d v="2023-04-16T19:51:35"/>
    <m/>
    <n v="0"/>
    <s v="Student account"/>
    <s v="Student account"/>
  </r>
  <r>
    <n v="1745"/>
    <s v="Zoë Kravitz"/>
    <s v="Zoë Kravitz"/>
    <s v="Zoë Kravitz"/>
    <n v="43"/>
    <n v="43"/>
    <x v="0"/>
    <s v="United Kingdom"/>
    <s v="2023-05-01"/>
    <s v="2023-05-01"/>
    <x v="9"/>
    <n v="1691682687"/>
    <d v="2023-08-10T15:51:27"/>
    <n v="1104.3800000000001"/>
    <n v="1104.3800000000001"/>
    <s v="Corporate account"/>
    <s v="Corporate account"/>
  </r>
  <r>
    <n v="2189"/>
    <s v="Björn Larsson"/>
    <s v="Björn Larsson"/>
    <s v="Björn Larsson"/>
    <n v="34"/>
    <n v="34"/>
    <x v="4"/>
    <s v="Spain"/>
    <s v="2023-11-04"/>
    <s v="2023-11-04"/>
    <x v="1"/>
    <n v="1698467980"/>
    <d v="2023-10-28T04:39:40"/>
    <m/>
    <n v="0"/>
    <s v="Holiday signup %"/>
    <s v="Holiday signup "/>
  </r>
  <r>
    <n v="1799"/>
    <s v="André Santos"/>
    <s v="André Santos"/>
    <s v="André Santos"/>
    <n v="45"/>
    <n v="45"/>
    <x v="0"/>
    <s v="United Kingdom"/>
    <s v="03/31/2023"/>
    <s v="2023-03-31"/>
    <x v="6"/>
    <n v="1681736279"/>
    <d v="2023-04-17T12:57:59"/>
    <m/>
    <n v="0"/>
    <s v="Holiday signup %"/>
    <s v="Holiday signup "/>
  </r>
  <r>
    <n v="1115"/>
    <s v="Isabella Martinez"/>
    <s v="Isabella Martinez"/>
    <s v="Isabella Martinez"/>
    <m/>
    <n v="43"/>
    <x v="9"/>
    <s v="Ireland"/>
    <s v="August 05 2023"/>
    <s v="2023-08-05"/>
    <x v="11"/>
    <n v="1695432900"/>
    <d v="2023-09-23T01:35:00"/>
    <m/>
    <n v="0"/>
    <s v="Frequent buyer ñ"/>
    <s v="Frequent buyer n"/>
  </r>
  <r>
    <n v="2132"/>
    <s v="Noah Martin"/>
    <s v="Noah Martin"/>
    <s v="Noah Martin"/>
    <n v="41"/>
    <n v="41"/>
    <x v="0"/>
    <s v="United Kingdom"/>
    <s v="10/01/2023"/>
    <s v="2023-10-01"/>
    <x v="3"/>
    <n v="1701301862"/>
    <d v="2023-11-29T23:51:02"/>
    <n v="669.18"/>
    <n v="669.18"/>
    <s v="High engagement"/>
    <s v="High engagement"/>
  </r>
  <r>
    <n v="1562"/>
    <s v="Li Wei"/>
    <s v="Li Wei"/>
    <s v="Li Wei"/>
    <n v="48"/>
    <n v="48"/>
    <x v="5"/>
    <s v="UAE"/>
    <s v="June 20 2023"/>
    <s v="2023-06-20"/>
    <x v="10"/>
    <n v="1701943224"/>
    <d v="2023-12-07T10:00:24"/>
    <n v="1378.63"/>
    <n v="1378.63"/>
    <s v="Frequent buyer ñ"/>
    <s v="Frequent buyer n"/>
  </r>
  <r>
    <n v="1535"/>
    <s v=" Ahmed Hassan "/>
    <s v="Ahmed Hassan"/>
    <s v=" Ahmed Hassan "/>
    <n v="56"/>
    <n v="56"/>
    <x v="9"/>
    <s v="Ireland"/>
    <s v="June 17 2023"/>
    <s v="2023-06-17"/>
    <x v="10"/>
    <n v="1695851380"/>
    <d v="2023-09-27T21:49:40"/>
    <n v="50.75"/>
    <n v="50.75"/>
    <s v="Frequent buyer ñ"/>
    <s v="Frequent buyer n"/>
  </r>
  <r>
    <n v="2162"/>
    <s v=" Anne Müller "/>
    <s v="Anne Müller"/>
    <s v=" Anne Müller "/>
    <m/>
    <n v="43"/>
    <x v="8"/>
    <s v="Egypt"/>
    <s v="03/02/2023"/>
    <s v="2023-03-02"/>
    <x v="6"/>
    <n v="1696467225"/>
    <d v="2023-10-05T00:53:45"/>
    <m/>
    <n v="0"/>
    <s v="Student account"/>
    <s v="Student account"/>
  </r>
  <r>
    <n v="2013"/>
    <s v=" Noah Martin "/>
    <s v="Noah Martin"/>
    <s v=" Noah Martin "/>
    <n v="31"/>
    <n v="31"/>
    <x v="11"/>
    <s v="Mexico"/>
    <s v="12/13/2023"/>
    <s v="2023-12-13"/>
    <x v="0"/>
    <n v="1686560858"/>
    <d v="2023-06-12T09:07:38"/>
    <n v="278.75"/>
    <n v="278.75"/>
    <s v="Great customer $$$"/>
    <s v="Great customer "/>
  </r>
  <r>
    <n v="1595"/>
    <s v=" Akira Tanaka "/>
    <s v="Akira Tanaka"/>
    <s v=" Akira Tanaka "/>
    <m/>
    <n v="43"/>
    <x v="12"/>
    <s v="South Korea"/>
    <s v="2023-02-13"/>
    <s v="2023-02-13"/>
    <x v="2"/>
    <n v="1688257056"/>
    <d v="2023-07-02T00:17:36"/>
    <m/>
    <n v="0"/>
    <s v="High engagement"/>
    <s v="High engagement"/>
  </r>
  <r>
    <n v="1435"/>
    <s v="Renée Dupont"/>
    <s v="Renée Dupont"/>
    <s v="Renée Dupont"/>
    <n v="65"/>
    <n v="65"/>
    <x v="7"/>
    <s v="Brazil"/>
    <s v="2023-02-07"/>
    <s v="2023-02-07"/>
    <x v="2"/>
    <n v="1691213817"/>
    <d v="2023-08-05T05:36:57"/>
    <m/>
    <n v="0"/>
    <s v="VIP client $$$"/>
    <s v="VIP client "/>
  </r>
  <r>
    <n v="1957"/>
    <s v=" Sofia Rossi "/>
    <s v="Sofia Rossi"/>
    <s v=" Sofia Rossi "/>
    <m/>
    <n v="43"/>
    <x v="14"/>
    <s v="Italy"/>
    <s v="2023-12-30T00:00:00Z"/>
    <s v="2023-12-30"/>
    <x v="0"/>
    <n v="1688804594"/>
    <d v="2023-07-08T08:23:14"/>
    <n v="692.06"/>
    <n v="692.06"/>
    <s v="Frequent buyer ñ"/>
    <s v="Frequent buyer n"/>
  </r>
  <r>
    <n v="1254"/>
    <s v=" Olivia Wilson "/>
    <s v="Olivia Wilson"/>
    <s v=" Olivia Wilson "/>
    <n v="36"/>
    <n v="36"/>
    <x v="10"/>
    <s v="Sweden"/>
    <s v="2023-05-20T00:00:00Z"/>
    <s v="2023-05-20"/>
    <x v="9"/>
    <n v="1702417459"/>
    <d v="2023-12-12T21:44:19"/>
    <n v="998.08"/>
    <n v="998.08"/>
    <s v="Holiday signup %"/>
    <s v="Holiday signup "/>
  </r>
  <r>
    <n v="1009"/>
    <s v="Ahmed Hassan"/>
    <s v="Ahmed Hassan"/>
    <s v="Ahmed Hassan"/>
    <n v="29"/>
    <n v="29"/>
    <x v="4"/>
    <s v="Spain"/>
    <s v="2023-09-13"/>
    <s v="2023-09-13"/>
    <x v="5"/>
    <n v="1702299119"/>
    <d v="2023-12-11T12:51:59"/>
    <m/>
    <n v="0"/>
    <s v="Prefers email %"/>
    <s v="Prefers email "/>
  </r>
  <r>
    <n v="1552"/>
    <s v="Mia Thompson"/>
    <s v="Mia Thompson"/>
    <s v="Mia Thompson"/>
    <n v="20"/>
    <n v="20"/>
    <x v="12"/>
    <s v="South Korea"/>
    <s v="2023-06-16T00:00:00Z"/>
    <s v="2023-06-16"/>
    <x v="10"/>
    <n v="1676863265"/>
    <d v="2023-02-20T03:21:05"/>
    <n v="324.94"/>
    <n v="324.94"/>
    <s v="Student account"/>
    <s v="Student account"/>
  </r>
  <r>
    <n v="1662"/>
    <s v="Maria Lopez"/>
    <s v="Maria Lopez"/>
    <s v="Maria Lopez"/>
    <m/>
    <n v="43"/>
    <x v="3"/>
    <s v="United States"/>
    <s v="24-07-2023"/>
    <s v="2023-07-24"/>
    <x v="8"/>
    <n v="1678497051"/>
    <d v="2023-03-11T01:10:51"/>
    <m/>
    <n v="0"/>
    <s v="Prefers email %"/>
    <s v="Prefers email "/>
  </r>
  <r>
    <n v="1269"/>
    <s v="Olivia Wilson"/>
    <s v="Olivia Wilson"/>
    <s v="Olivia Wilson"/>
    <n v="41"/>
    <n v="41"/>
    <x v="8"/>
    <s v="Egypt"/>
    <s v="August 17 2023"/>
    <s v="2023-08-17"/>
    <x v="11"/>
    <n v="1688510663"/>
    <d v="2023-07-04T22:44:23"/>
    <m/>
    <n v="0"/>
    <s v="Prefers email %"/>
    <s v="Prefers email "/>
  </r>
  <r>
    <n v="1866"/>
    <s v="Olivia Wilson"/>
    <s v="Olivia Wilson"/>
    <s v="Olivia Wilson"/>
    <m/>
    <n v="43"/>
    <x v="3"/>
    <s v="United States"/>
    <s v="2023-01-21T00:00:00Z"/>
    <s v="2023-01-21"/>
    <x v="7"/>
    <n v="1683991054"/>
    <d v="2023-05-13T15:17:34"/>
    <n v="1460.17"/>
    <n v="1460.17"/>
    <s v="Frequent buyer ñ"/>
    <s v="Frequent buyer n"/>
  </r>
  <r>
    <n v="1262"/>
    <s v="Zoë Kravitz"/>
    <s v="Zoë Kravitz"/>
    <s v="Zoë Kravitz"/>
    <m/>
    <n v="43"/>
    <x v="11"/>
    <s v="Mexico"/>
    <s v="2023-10-19"/>
    <s v="2023-10-19"/>
    <x v="3"/>
    <n v="1691012301"/>
    <d v="2023-08-02T21:38:21"/>
    <n v="124.03"/>
    <n v="124.03"/>
    <s v="Corporate account"/>
    <s v="Corporate account"/>
  </r>
  <r>
    <n v="1037"/>
    <s v="John Smith"/>
    <s v="John Smith"/>
    <s v="John Smith"/>
    <n v="28"/>
    <n v="28"/>
    <x v="8"/>
    <s v="Egypt"/>
    <s v="August 24 2023"/>
    <s v="2023-08-24"/>
    <x v="11"/>
    <n v="1701675436"/>
    <d v="2023-12-04T07:37:16"/>
    <m/>
    <n v="0"/>
    <s v="Student account"/>
    <s v="Student account"/>
  </r>
  <r>
    <n v="1604"/>
    <s v="Daniel Kim"/>
    <s v="Daniel Kim"/>
    <s v="Daniel Kim"/>
    <m/>
    <n v="43"/>
    <x v="3"/>
    <s v="United States"/>
    <s v="February 22 2023"/>
    <s v="2023-02-22"/>
    <x v="2"/>
    <n v="1686472104"/>
    <d v="2023-06-11T08:28:24"/>
    <m/>
    <n v="0"/>
    <s v="Great customer $$$"/>
    <s v="Great customer "/>
  </r>
  <r>
    <n v="1999"/>
    <s v="Noah Martin"/>
    <s v="Noah Martin"/>
    <s v="Noah Martin"/>
    <n v="64"/>
    <n v="64"/>
    <x v="8"/>
    <s v="Egypt"/>
    <s v="2023-04-29"/>
    <s v="2023-04-29"/>
    <x v="4"/>
    <n v="1690251102"/>
    <d v="2023-07-25T02:11:42"/>
    <m/>
    <n v="0"/>
    <s v="Corporate account"/>
    <s v="Corporate account"/>
  </r>
  <r>
    <n v="1131"/>
    <s v="Akira Tanaka"/>
    <s v="Akira Tanaka"/>
    <s v="Akira Tanaka"/>
    <n v="44"/>
    <n v="44"/>
    <x v="8"/>
    <s v="Egypt"/>
    <s v="15-11-2023"/>
    <s v="2023-11-15"/>
    <x v="1"/>
    <n v="1687567303"/>
    <d v="2023-06-24T00:41:43"/>
    <n v="1049.3"/>
    <n v="1049.3"/>
    <s v="Frequent buyer ñ"/>
    <s v="Frequent buyer n"/>
  </r>
  <r>
    <n v="1601"/>
    <s v="André Santos"/>
    <s v="André Santos"/>
    <s v="André Santos"/>
    <n v="61"/>
    <n v="61"/>
    <x v="14"/>
    <s v="Italy"/>
    <s v="08/30/2023"/>
    <s v="2023-08-30"/>
    <x v="11"/>
    <n v="1693389567"/>
    <d v="2023-08-30T09:59:27"/>
    <n v="318.74"/>
    <n v="318.74"/>
    <s v="Regular shopper"/>
    <s v="Regular shopper"/>
  </r>
  <r>
    <n v="1265"/>
    <s v=" Sarah Johnson "/>
    <s v="Sarah Johnson"/>
    <s v=" Sarah Johnson "/>
    <n v="56"/>
    <n v="56"/>
    <x v="5"/>
    <s v="UAE"/>
    <s v="10-09-2023"/>
    <s v="2023-10-09"/>
    <x v="3"/>
    <n v="1680399859"/>
    <d v="2023-04-02T01:44:19"/>
    <n v="322.06"/>
    <n v="322.06"/>
    <s v="Great customer $$$"/>
    <s v="Great customer "/>
  </r>
  <r>
    <n v="2151"/>
    <s v="Emily Davis"/>
    <s v="Emily Davis"/>
    <s v="Emily Davis"/>
    <n v="39"/>
    <n v="39"/>
    <x v="9"/>
    <s v="Ireland"/>
    <s v="05/17/2023"/>
    <s v="2023-05-17"/>
    <x v="9"/>
    <n v="1701159625"/>
    <d v="2023-11-28T08:20:25"/>
    <n v="1038.3"/>
    <n v="1038.3"/>
    <s v="Great customer $$$"/>
    <s v="Great customer "/>
  </r>
  <r>
    <n v="1897"/>
    <s v="Ethan Clark"/>
    <s v="Ethan Clark"/>
    <s v="Ethan Clark"/>
    <n v="24"/>
    <n v="24"/>
    <x v="0"/>
    <s v="United Kingdom"/>
    <s v="2023-10-15"/>
    <s v="2023-10-15"/>
    <x v="3"/>
    <n v="1689546355"/>
    <d v="2023-07-16T22:25:55"/>
    <n v="167.06"/>
    <n v="167.06"/>
    <s v="VIP client $$$"/>
    <s v="VIP client "/>
  </r>
  <r>
    <n v="1126"/>
    <s v="Noah Martin"/>
    <s v="Noah Martin"/>
    <s v="Noah Martin"/>
    <n v="60"/>
    <n v="60"/>
    <x v="3"/>
    <s v="United States"/>
    <s v="2023-11-20T00:00:00Z"/>
    <s v="2023-11-20"/>
    <x v="1"/>
    <n v="1682446865"/>
    <d v="2023-04-25T18:21:05"/>
    <m/>
    <n v="0"/>
    <s v="Newsletter subscriber %"/>
    <s v="Newsletter subscriber "/>
  </r>
  <r>
    <n v="1829"/>
    <s v=" Björn Larsson "/>
    <s v="Björn Larsson"/>
    <s v=" Björn Larsson "/>
    <n v="37"/>
    <n v="37"/>
    <x v="9"/>
    <s v="Ireland"/>
    <s v="June 21 2023"/>
    <s v="2023-06-21"/>
    <x v="10"/>
    <n v="1696854274"/>
    <d v="2023-10-09T12:24:34"/>
    <n v="1081.1300000000001"/>
    <n v="1081.1300000000001"/>
    <s v="Corporate account"/>
    <s v="Corporate account"/>
  </r>
  <r>
    <n v="2108"/>
    <s v=" Fatima Ali "/>
    <s v="Fatima Ali"/>
    <s v=" Fatima Ali "/>
    <m/>
    <n v="43"/>
    <x v="10"/>
    <s v="Sweden"/>
    <s v="06/24/2023"/>
    <s v="2023-06-24"/>
    <x v="10"/>
    <n v="1673309903"/>
    <d v="2023-01-10T00:18:23"/>
    <m/>
    <n v="0"/>
    <s v="VIP client $$$"/>
    <s v="VIP client "/>
  </r>
  <r>
    <n v="1256"/>
    <s v=" Ethan Clark "/>
    <s v="Ethan Clark"/>
    <s v=" Ethan Clark "/>
    <m/>
    <n v="43"/>
    <x v="2"/>
    <s v="Japan"/>
    <s v="2023-05-01T00:00:00Z"/>
    <s v="2023-05-01"/>
    <x v="9"/>
    <n v="1691502293"/>
    <d v="2023-08-08T13:44:53"/>
    <n v="1074.82"/>
    <n v="1074.82"/>
    <s v="Newsletter subscriber %"/>
    <s v="Newsletter subscriber "/>
  </r>
  <r>
    <n v="1871"/>
    <s v="Carlos García"/>
    <s v="Carlos García"/>
    <s v="Carlos García"/>
    <m/>
    <n v="43"/>
    <x v="10"/>
    <s v="Sweden"/>
    <s v="2023-07-26T00:00:00Z"/>
    <s v="2023-07-26"/>
    <x v="8"/>
    <n v="1691279868"/>
    <d v="2023-08-05T23:57:48"/>
    <m/>
    <n v="0"/>
    <s v="Student account"/>
    <s v="Student account"/>
  </r>
  <r>
    <n v="2197"/>
    <s v="Isabella Martinez"/>
    <s v="Isabella Martinez"/>
    <s v="Isabella Martinez"/>
    <m/>
    <n v="43"/>
    <x v="5"/>
    <s v="UAE"/>
    <s v="03/25/2023"/>
    <s v="2023-03-25"/>
    <x v="6"/>
    <n v="1689495358"/>
    <d v="2023-07-16T08:15:58"/>
    <m/>
    <n v="0"/>
    <s v="Frequent buyer ñ"/>
    <s v="Frequent buyer n"/>
  </r>
  <r>
    <n v="1837"/>
    <s v=" Anne Müller "/>
    <s v="Anne Müller"/>
    <s v=" Anne Müller "/>
    <n v="54"/>
    <n v="54"/>
    <x v="10"/>
    <s v="Sweden"/>
    <s v="2023-03-20"/>
    <s v="2023-03-20"/>
    <x v="6"/>
    <n v="1684988376"/>
    <d v="2023-05-25T04:19:36"/>
    <m/>
    <n v="0"/>
    <s v="Student account"/>
    <s v="Student account"/>
  </r>
  <r>
    <n v="1005"/>
    <s v="Anne Müller"/>
    <s v="Anne Müller"/>
    <s v="Anne Müller"/>
    <m/>
    <n v="43"/>
    <x v="8"/>
    <s v="Egypt"/>
    <s v="21-10-2023"/>
    <s v="2023-10-21"/>
    <x v="3"/>
    <n v="1691507888"/>
    <d v="2023-08-08T15:18:08"/>
    <m/>
    <n v="0"/>
    <s v="High engagement"/>
    <s v="High engagement"/>
  </r>
  <r>
    <n v="2069"/>
    <s v="David Brown"/>
    <s v="David Brown"/>
    <s v="David Brown"/>
    <n v="50"/>
    <n v="50"/>
    <x v="9"/>
    <s v="Ireland"/>
    <s v="2023-04-03"/>
    <s v="2023-04-03"/>
    <x v="4"/>
    <n v="1681750211"/>
    <d v="2023-04-17T16:50:11"/>
    <n v="1182.27"/>
    <n v="1182.27"/>
    <s v="Holiday signup %"/>
    <s v="Holiday signup "/>
  </r>
  <r>
    <n v="2082"/>
    <s v="Lucas Silva"/>
    <s v="Lucas Silva"/>
    <s v="Lucas Silva"/>
    <n v="23"/>
    <n v="23"/>
    <x v="9"/>
    <s v="Ireland"/>
    <s v="28-03-2023"/>
    <s v="2023-03-28"/>
    <x v="6"/>
    <n v="1677356987"/>
    <d v="2023-02-25T20:29:47"/>
    <n v="282.18"/>
    <n v="282.18"/>
    <s v="Frequent buyer ñ"/>
    <s v="Frequent buyer n"/>
  </r>
  <r>
    <n v="2046"/>
    <s v=" Fatima Ali "/>
    <s v="Fatima Ali"/>
    <s v=" Fatima Ali "/>
    <n v="52"/>
    <n v="52"/>
    <x v="3"/>
    <s v="United States"/>
    <s v="2023-06-03"/>
    <s v="2023-06-03"/>
    <x v="10"/>
    <n v="1685788231"/>
    <d v="2023-06-03T10:30:31"/>
    <n v="1050.6600000000001"/>
    <n v="1050.6600000000001"/>
    <s v="Corporate account"/>
    <s v="Corporate account"/>
  </r>
  <r>
    <n v="1573"/>
    <s v=" Sofia Rossi "/>
    <s v="Sofia Rossi"/>
    <s v=" Sofia Rossi "/>
    <n v="38"/>
    <n v="38"/>
    <x v="2"/>
    <s v="Japan"/>
    <s v="22-11-2023"/>
    <s v="2023-11-22"/>
    <x v="1"/>
    <n v="1697780219"/>
    <d v="2023-10-20T05:36:59"/>
    <m/>
    <n v="0"/>
    <s v="VIP client $$$"/>
    <s v="VIP client "/>
  </r>
  <r>
    <n v="1659"/>
    <s v=" Lucas Silva "/>
    <s v="Lucas Silva"/>
    <s v=" Lucas Silva "/>
    <n v="56"/>
    <n v="56"/>
    <x v="0"/>
    <s v="United Kingdom"/>
    <s v="2023-11-27"/>
    <s v="2023-11-27"/>
    <x v="1"/>
    <n v="1692951493"/>
    <d v="2023-08-25T08:18:13"/>
    <n v="720.03"/>
    <n v="720.03"/>
    <s v="Frequent buyer ñ"/>
    <s v="Frequent buyer n"/>
  </r>
  <r>
    <n v="1847"/>
    <s v="Chloe Dubois"/>
    <s v="Chloe Dubois"/>
    <s v="Chloe Dubois"/>
    <m/>
    <n v="43"/>
    <x v="9"/>
    <s v="Ireland"/>
    <s v="2023-02-11"/>
    <s v="2023-02-11"/>
    <x v="2"/>
    <n v="1690598072"/>
    <d v="2023-07-29T02:34:32"/>
    <m/>
    <n v="0"/>
    <s v="Prefers email %"/>
    <s v="Prefers email "/>
  </r>
  <r>
    <n v="1723"/>
    <s v="Noah Martin"/>
    <s v="Noah Martin"/>
    <s v="Noah Martin"/>
    <n v="40"/>
    <n v="40"/>
    <x v="3"/>
    <s v="United States"/>
    <s v="March 05 2023"/>
    <s v="2023-03-05"/>
    <x v="6"/>
    <n v="1684955267"/>
    <d v="2023-05-24T19:07:47"/>
    <m/>
    <n v="0"/>
    <s v="Great customer $$$"/>
    <s v="Great customer "/>
  </r>
  <r>
    <n v="1454"/>
    <s v=" André Santos "/>
    <s v="André Santos"/>
    <s v=" André Santos "/>
    <n v="61"/>
    <n v="61"/>
    <x v="14"/>
    <s v="Italy"/>
    <s v="2023-04-09"/>
    <s v="2023-04-09"/>
    <x v="4"/>
    <n v="1699913839"/>
    <d v="2023-11-13T22:17:19"/>
    <m/>
    <n v="0"/>
    <s v="VIP client $$$"/>
    <s v="VIP client "/>
  </r>
  <r>
    <n v="1480"/>
    <s v="Isabella Martinez"/>
    <s v="Isabella Martinez"/>
    <s v="Isabella Martinez"/>
    <m/>
    <n v="43"/>
    <x v="1"/>
    <s v="Germany"/>
    <s v="01/04/2023"/>
    <s v="2023-01-04"/>
    <x v="7"/>
    <n v="1700076331"/>
    <d v="2023-11-15T19:25:31"/>
    <n v="961.27"/>
    <n v="961.27"/>
    <s v="Student account"/>
    <s v="Student account"/>
  </r>
  <r>
    <n v="2166"/>
    <s v="Ahmed Hassan"/>
    <s v="Ahmed Hassan"/>
    <s v="Ahmed Hassan"/>
    <n v="30"/>
    <n v="30"/>
    <x v="6"/>
    <s v="France"/>
    <s v="2023-02-03T00:00:00Z"/>
    <s v="2023-02-03"/>
    <x v="2"/>
    <n v="1676827234"/>
    <d v="2023-02-19T17:20:34"/>
    <n v="1121.5"/>
    <n v="1121.5"/>
    <s v="Student account"/>
    <s v="Student account"/>
  </r>
  <r>
    <n v="2168"/>
    <s v="Emily Davis"/>
    <s v="Emily Davis"/>
    <s v="Emily Davis"/>
    <n v="64"/>
    <n v="64"/>
    <x v="3"/>
    <s v="United States"/>
    <s v="2023-12-21T00:00:00Z"/>
    <s v="2023-12-21"/>
    <x v="0"/>
    <n v="1693141740"/>
    <d v="2023-08-27T13:09:00"/>
    <m/>
    <n v="0"/>
    <s v="Great customer $$$"/>
    <s v="Great customer "/>
  </r>
  <r>
    <n v="1199"/>
    <s v="John Smith"/>
    <s v="John Smith"/>
    <s v="John Smith"/>
    <n v="55"/>
    <n v="55"/>
    <x v="2"/>
    <s v="Japan"/>
    <s v="05/09/2023"/>
    <s v="2023-05-09"/>
    <x v="9"/>
    <n v="1676142531"/>
    <d v="2023-02-11T19:08:51"/>
    <m/>
    <n v="0"/>
    <s v="Great customer $$$"/>
    <s v="Great customer "/>
  </r>
  <r>
    <n v="1684"/>
    <s v="Ahmed Hassan"/>
    <s v="Ahmed Hassan"/>
    <s v="Ahmed Hassan"/>
    <n v="56"/>
    <n v="56"/>
    <x v="12"/>
    <s v="South Korea"/>
    <s v="February 18 2023"/>
    <s v="2023-02-18"/>
    <x v="2"/>
    <n v="1691949817"/>
    <d v="2023-08-13T18:03:37"/>
    <n v="195.99"/>
    <n v="195.99"/>
    <s v="Great customer $$$"/>
    <s v="Great customer "/>
  </r>
  <r>
    <n v="1209"/>
    <s v=" Zoë Kravitz "/>
    <s v="Zoë Kravitz"/>
    <s v=" Zoë Kravitz "/>
    <m/>
    <n v="43"/>
    <x v="13"/>
    <s v="China"/>
    <s v="2023-02-19T00:00:00Z"/>
    <s v="2023-02-19"/>
    <x v="2"/>
    <n v="1697755703"/>
    <d v="2023-10-19T22:48:23"/>
    <n v="622.54999999999995"/>
    <n v="622.54999999999995"/>
    <s v="Regular shopper"/>
    <s v="Regular shopper"/>
  </r>
  <r>
    <n v="1911"/>
    <s v=" Sarah Johnson "/>
    <s v="Sarah Johnson"/>
    <s v=" Sarah Johnson "/>
    <n v="20"/>
    <n v="20"/>
    <x v="11"/>
    <s v="Mexico"/>
    <s v="October 27 2023"/>
    <s v="2023-10-27"/>
    <x v="3"/>
    <n v="1689741642"/>
    <d v="2023-07-19T04:40:42"/>
    <m/>
    <n v="0"/>
    <s v="Student account"/>
    <s v="Student account"/>
  </r>
  <r>
    <n v="1487"/>
    <s v="Ahmed Hassan"/>
    <s v="Ahmed Hassan"/>
    <s v="Ahmed Hassan"/>
    <m/>
    <n v="43"/>
    <x v="14"/>
    <s v="Italy"/>
    <s v="04/11/2023"/>
    <s v="2023-04-11"/>
    <x v="4"/>
    <n v="1694017452"/>
    <d v="2023-09-06T16:24:12"/>
    <n v="1363.67"/>
    <n v="1363.67"/>
    <s v="Newsletter subscriber %"/>
    <s v="Newsletter subscriber "/>
  </r>
  <r>
    <n v="1388"/>
    <s v="Zoë Kravitz"/>
    <s v="Zoë Kravitz"/>
    <s v="Zoë Kravitz"/>
    <n v="47"/>
    <n v="47"/>
    <x v="2"/>
    <s v="Japan"/>
    <s v="2023-10-24T00:00:00Z"/>
    <s v="2023-10-24"/>
    <x v="3"/>
    <n v="1683786896"/>
    <d v="2023-05-11T06:34:56"/>
    <m/>
    <n v="0"/>
    <s v="Newsletter subscriber %"/>
    <s v="Newsletter subscriber "/>
  </r>
  <r>
    <n v="1152"/>
    <s v=" Olivia Wilson "/>
    <s v="Olivia Wilson"/>
    <s v=" Olivia Wilson "/>
    <m/>
    <n v="43"/>
    <x v="12"/>
    <s v="South Korea"/>
    <s v="2023-04-10T00:00:00Z"/>
    <s v="2023-04-10"/>
    <x v="4"/>
    <n v="1703149424"/>
    <d v="2023-12-21T09:03:44"/>
    <n v="1150.6400000000001"/>
    <n v="1150.6400000000001"/>
    <s v="Great customer $$$"/>
    <s v="Great customer "/>
  </r>
  <r>
    <n v="1537"/>
    <s v=" Anne Müller "/>
    <s v="Anne Müller"/>
    <s v=" Anne Müller "/>
    <m/>
    <n v="43"/>
    <x v="0"/>
    <s v="United Kingdom"/>
    <s v="06/23/2023"/>
    <s v="2023-06-23"/>
    <x v="10"/>
    <n v="1682760530"/>
    <d v="2023-04-29T09:28:50"/>
    <m/>
    <n v="0"/>
    <s v="Newsletter subscriber %"/>
    <s v="Newsletter subscriber "/>
  </r>
  <r>
    <n v="1351"/>
    <s v="Ahmed Hassan"/>
    <s v="Ahmed Hassan"/>
    <s v="Ahmed Hassan"/>
    <n v="45"/>
    <n v="45"/>
    <x v="3"/>
    <s v="United States"/>
    <s v="03/02/2023"/>
    <s v="2023-03-02"/>
    <x v="6"/>
    <n v="1702143272"/>
    <d v="2023-12-09T17:34:32"/>
    <n v="1386.99"/>
    <n v="1386.99"/>
    <s v="VIP client $$$"/>
    <s v="VIP client "/>
  </r>
  <r>
    <n v="2091"/>
    <s v="Noah Martin"/>
    <s v="Noah Martin"/>
    <s v="Noah Martin"/>
    <m/>
    <n v="43"/>
    <x v="4"/>
    <s v="Spain"/>
    <s v="2023-01-24T00:00:00Z"/>
    <s v="2023-01-24"/>
    <x v="7"/>
    <n v="1692231386"/>
    <d v="2023-08-17T00:16:26"/>
    <m/>
    <n v="0"/>
    <s v="Frequent buyer ñ"/>
    <s v="Frequent buyer n"/>
  </r>
  <r>
    <n v="1753"/>
    <s v="Isabella Martinez"/>
    <s v="Isabella Martinez"/>
    <s v="Isabella Martinez"/>
    <n v="42"/>
    <n v="42"/>
    <x v="12"/>
    <s v="South Korea"/>
    <s v="30-04-2023"/>
    <s v="2023-04-30"/>
    <x v="4"/>
    <n v="1694178515"/>
    <d v="2023-09-08T13:08:35"/>
    <n v="123.07"/>
    <n v="123.07"/>
    <s v="Student account"/>
    <s v="Student account"/>
  </r>
  <r>
    <n v="1403"/>
    <s v="Zoë Kravitz"/>
    <s v="Zoë Kravitz"/>
    <s v="Zoë Kravitz"/>
    <n v="65"/>
    <n v="65"/>
    <x v="7"/>
    <s v="Brazil"/>
    <s v="2023-04-08T00:00:00Z"/>
    <s v="2023-04-08"/>
    <x v="4"/>
    <n v="1677149985"/>
    <d v="2023-02-23T10:59:45"/>
    <m/>
    <n v="0"/>
    <s v="Great customer $$$"/>
    <s v="Great customer "/>
  </r>
  <r>
    <n v="1614"/>
    <s v="Fatima Ali"/>
    <s v="Fatima Ali"/>
    <s v="Fatima Ali"/>
    <n v="43"/>
    <n v="43"/>
    <x v="3"/>
    <s v="United States"/>
    <s v="2023-08-30T00:00:00Z"/>
    <s v="2023-08-30"/>
    <x v="11"/>
    <n v="1698064309"/>
    <d v="2023-10-23T12:31:49"/>
    <m/>
    <n v="0"/>
    <s v="VIP client $$$"/>
    <s v="VIP client "/>
  </r>
  <r>
    <n v="1465"/>
    <s v="André Santos"/>
    <s v="André Santos"/>
    <s v="André Santos"/>
    <n v="32"/>
    <n v="32"/>
    <x v="9"/>
    <s v="Ireland"/>
    <s v="August 28 2023"/>
    <s v="2023-08-28"/>
    <x v="11"/>
    <n v="1683954638"/>
    <d v="2023-05-13T05:10:38"/>
    <m/>
    <n v="0"/>
    <s v="VIP client $$$"/>
    <s v="VIP client "/>
  </r>
  <r>
    <n v="1048"/>
    <s v="Daniel Kim"/>
    <s v="Daniel Kim"/>
    <s v="Daniel Kim"/>
    <m/>
    <n v="43"/>
    <x v="13"/>
    <s v="China"/>
    <s v="07/15/2023"/>
    <s v="2023-07-15"/>
    <x v="8"/>
    <n v="1685631574"/>
    <d v="2023-06-01T14:59:34"/>
    <m/>
    <n v="0"/>
    <s v="VIP client $$$"/>
    <s v="VIP client "/>
  </r>
  <r>
    <n v="2001"/>
    <s v=" John Smith "/>
    <s v="John Smith"/>
    <s v=" John Smith "/>
    <m/>
    <n v="43"/>
    <x v="1"/>
    <s v="Germany"/>
    <s v="30-04-2023"/>
    <s v="2023-04-30"/>
    <x v="4"/>
    <n v="1694655493"/>
    <d v="2023-09-14T01:38:13"/>
    <m/>
    <n v="0"/>
    <s v="Great customer $$$"/>
    <s v="Great customer "/>
  </r>
  <r>
    <n v="1755"/>
    <s v=" Ahmed Hassan "/>
    <s v="Ahmed Hassan"/>
    <s v=" Ahmed Hassan "/>
    <m/>
    <n v="43"/>
    <x v="6"/>
    <s v="France"/>
    <s v="02/26/2023"/>
    <s v="2023-02-26"/>
    <x v="2"/>
    <n v="1690524376"/>
    <d v="2023-07-28T06:06:16"/>
    <n v="633.44000000000005"/>
    <n v="633.44000000000005"/>
    <s v="High engagement"/>
    <s v="High engagement"/>
  </r>
  <r>
    <n v="1940"/>
    <s v=" Akira Tanaka "/>
    <s v="Akira Tanaka"/>
    <s v=" Akira Tanaka "/>
    <n v="27"/>
    <n v="27"/>
    <x v="13"/>
    <s v="China"/>
    <s v="11/06/2023"/>
    <s v="2023-11-06"/>
    <x v="1"/>
    <n v="1690168816"/>
    <d v="2023-07-24T03:20:16"/>
    <m/>
    <n v="0"/>
    <s v="Regular shopper"/>
    <s v="Regular shopper"/>
  </r>
  <r>
    <n v="1157"/>
    <s v=" Björn Larsson "/>
    <s v="Björn Larsson"/>
    <s v=" Björn Larsson "/>
    <m/>
    <n v="43"/>
    <x v="6"/>
    <s v="France"/>
    <s v="05/10/2023"/>
    <s v="2023-05-10"/>
    <x v="9"/>
    <n v="1689504709"/>
    <d v="2023-07-16T10:51:49"/>
    <n v="76.510000000000005"/>
    <n v="76.510000000000005"/>
    <s v="Prefers email %"/>
    <s v="Prefers email "/>
  </r>
  <r>
    <n v="1951"/>
    <s v="Isabella Martinez"/>
    <s v="Isabella Martinez"/>
    <s v="Isabella Martinez"/>
    <n v="53"/>
    <n v="53"/>
    <x v="4"/>
    <s v="Spain"/>
    <s v="January 01 2024"/>
    <s v="2024-01-01"/>
    <x v="7"/>
    <n v="1677230202"/>
    <d v="2023-02-24T09:16:42"/>
    <m/>
    <n v="0"/>
    <s v="Frequent buyer ñ"/>
    <s v="Frequent buyer n"/>
  </r>
  <r>
    <n v="1632"/>
    <s v=" Ethan Clark "/>
    <s v="Ethan Clark"/>
    <s v=" Ethan Clark "/>
    <m/>
    <n v="43"/>
    <x v="1"/>
    <s v="Germany"/>
    <s v="08-05-2023"/>
    <s v="2023-08-05"/>
    <x v="11"/>
    <n v="1703016804"/>
    <d v="2023-12-19T20:13:24"/>
    <n v="365.43"/>
    <n v="365.43"/>
    <s v="Great customer $$$"/>
    <s v="Great customer "/>
  </r>
  <r>
    <n v="1864"/>
    <s v="John Smith"/>
    <s v="John Smith"/>
    <s v="John Smith"/>
    <n v="30"/>
    <n v="30"/>
    <x v="3"/>
    <s v="United States"/>
    <s v="2023-04-23"/>
    <s v="2023-04-23"/>
    <x v="4"/>
    <n v="1699264337"/>
    <d v="2023-11-06T09:52:17"/>
    <n v="1254.72"/>
    <n v="1254.72"/>
    <s v="Frequent buyer ñ"/>
    <s v="Frequent buyer n"/>
  </r>
  <r>
    <n v="1476"/>
    <s v=" David Brown "/>
    <s v="David Brown"/>
    <s v=" David Brown "/>
    <n v="38"/>
    <n v="38"/>
    <x v="13"/>
    <s v="China"/>
    <s v="01-12-2023"/>
    <s v="2023-01-12"/>
    <x v="7"/>
    <n v="1672926028"/>
    <d v="2023-01-05T13:40:28"/>
    <m/>
    <n v="0"/>
    <s v="VIP client $$$"/>
    <s v="VIP client "/>
  </r>
  <r>
    <n v="1139"/>
    <s v=" Lucas Silva "/>
    <s v="Lucas Silva"/>
    <s v=" Lucas Silva "/>
    <m/>
    <n v="43"/>
    <x v="10"/>
    <s v="Sweden"/>
    <s v="11/24/2023"/>
    <s v="2023-11-24"/>
    <x v="1"/>
    <n v="1689415973"/>
    <d v="2023-07-15T10:12:53"/>
    <n v="885.33"/>
    <n v="885.33"/>
    <s v="VIP client $$$"/>
    <s v="VIP client "/>
  </r>
  <r>
    <n v="1044"/>
    <s v="Mia Thompson"/>
    <s v="Mia Thompson"/>
    <s v="Mia Thompson"/>
    <n v="25"/>
    <n v="25"/>
    <x v="5"/>
    <s v="UAE"/>
    <s v="2023-05-05T00:00:00Z"/>
    <s v="2023-05-05"/>
    <x v="9"/>
    <n v="1675187874"/>
    <d v="2023-01-31T17:57:54"/>
    <m/>
    <n v="0"/>
    <s v="Regular shopper"/>
    <s v="Regular shopper"/>
  </r>
  <r>
    <n v="1608"/>
    <s v=" David Brown "/>
    <s v="David Brown"/>
    <s v=" David Brown "/>
    <n v="31"/>
    <n v="31"/>
    <x v="4"/>
    <s v="Spain"/>
    <s v="November 03 2023"/>
    <s v="2023-11-03"/>
    <x v="1"/>
    <n v="1697329302"/>
    <d v="2023-10-15T00:21:42"/>
    <n v="1317.22"/>
    <n v="1317.22"/>
    <s v="Student account"/>
    <s v="Student account"/>
  </r>
  <r>
    <n v="1651"/>
    <s v="Liam O’Connor"/>
    <s v="Liam O’Connor"/>
    <s v="Liam O’Connor"/>
    <m/>
    <n v="43"/>
    <x v="11"/>
    <s v="Mexico"/>
    <s v="01/13/2023"/>
    <s v="2023-01-13"/>
    <x v="7"/>
    <n v="1700942417"/>
    <d v="2023-11-25T20:00:17"/>
    <m/>
    <n v="0"/>
    <s v="VIP client $$$"/>
    <s v="VIP client "/>
  </r>
  <r>
    <n v="1422"/>
    <s v=" Chloe Dubois "/>
    <s v="Chloe Dubois"/>
    <s v=" Chloe Dubois "/>
    <n v="33"/>
    <n v="33"/>
    <x v="4"/>
    <s v="Spain"/>
    <s v="November 08 2023"/>
    <s v="2023-11-08"/>
    <x v="1"/>
    <n v="1690021694"/>
    <d v="2023-07-22T10:28:14"/>
    <m/>
    <n v="0"/>
    <s v="Great customer $$$"/>
    <s v="Great customer "/>
  </r>
  <r>
    <n v="2040"/>
    <s v="Li Wei"/>
    <s v="Li Wei"/>
    <s v="Li Wei"/>
    <n v="47"/>
    <n v="47"/>
    <x v="1"/>
    <s v="Germany"/>
    <s v="May 06 2023"/>
    <s v="2023-05-06"/>
    <x v="9"/>
    <n v="1678444193"/>
    <d v="2023-03-10T10:29:53"/>
    <m/>
    <n v="0"/>
    <s v="Student account"/>
    <s v="Student account"/>
  </r>
  <r>
    <n v="2035"/>
    <s v="Mia Thompson"/>
    <s v="Mia Thompson"/>
    <s v="Mia Thompson"/>
    <n v="27"/>
    <n v="27"/>
    <x v="13"/>
    <s v="China"/>
    <s v="2023-08-07"/>
    <s v="2023-08-07"/>
    <x v="11"/>
    <n v="1697987059"/>
    <d v="2023-10-22T15:04:19"/>
    <m/>
    <n v="0"/>
    <s v="Holiday signup %"/>
    <s v="Holiday signup "/>
  </r>
  <r>
    <n v="2101"/>
    <s v="Carlos García"/>
    <s v="Carlos García"/>
    <s v="Carlos García"/>
    <m/>
    <n v="43"/>
    <x v="12"/>
    <s v="South Korea"/>
    <s v="June 06 2023"/>
    <s v="2023-06-06"/>
    <x v="10"/>
    <n v="1682027479"/>
    <d v="2023-04-20T21:51:19"/>
    <m/>
    <n v="0"/>
    <s v="Prefers email %"/>
    <s v="Prefers email "/>
  </r>
  <r>
    <n v="1683"/>
    <s v="Carlos García"/>
    <s v="Carlos García"/>
    <s v="Carlos García"/>
    <n v="30"/>
    <n v="30"/>
    <x v="3"/>
    <s v="United States"/>
    <s v="2023-01-07T00:00:00Z"/>
    <s v="2023-01-07"/>
    <x v="7"/>
    <n v="1697031104"/>
    <d v="2023-10-11T13:31:44"/>
    <m/>
    <n v="0"/>
    <s v="High engagement"/>
    <s v="High engagement"/>
  </r>
  <r>
    <n v="1789"/>
    <s v=" Daniel Kim "/>
    <s v="Daniel Kim"/>
    <s v=" Daniel Kim "/>
    <n v="34"/>
    <n v="34"/>
    <x v="14"/>
    <s v="Italy"/>
    <s v="September 18 2023"/>
    <s v="2023-09-18"/>
    <x v="5"/>
    <n v="1693830384"/>
    <d v="2023-09-04T12:26:24"/>
    <n v="1035.8499999999999"/>
    <n v="1035.8499999999999"/>
    <s v="High engagement"/>
    <s v="High engagement"/>
  </r>
  <r>
    <n v="1869"/>
    <s v=" André Santos "/>
    <s v="André Santos"/>
    <s v=" André Santos "/>
    <m/>
    <n v="43"/>
    <x v="3"/>
    <s v="United States"/>
    <s v="12/24/2023"/>
    <s v="2023-12-24"/>
    <x v="0"/>
    <n v="1681292803"/>
    <d v="2023-04-12T09:46:43"/>
    <n v="912.1"/>
    <n v="912.1"/>
    <s v="Student account"/>
    <s v="Student account"/>
  </r>
  <r>
    <n v="1387"/>
    <s v=" Sofia Rossi "/>
    <s v="Sofia Rossi"/>
    <s v=" Sofia Rossi "/>
    <n v="34"/>
    <n v="34"/>
    <x v="11"/>
    <s v="Mexico"/>
    <s v="2023-09-14T00:00:00Z"/>
    <s v="2023-09-14"/>
    <x v="5"/>
    <n v="1694619125"/>
    <d v="2023-09-13T15:32:05"/>
    <m/>
    <n v="0"/>
    <s v="High engagement"/>
    <s v="High engagement"/>
  </r>
  <r>
    <n v="1838"/>
    <s v="Ethan Clark"/>
    <s v="Ethan Clark"/>
    <s v="Ethan Clark"/>
    <n v="24"/>
    <n v="24"/>
    <x v="6"/>
    <s v="France"/>
    <s v="10-02-2023"/>
    <s v="2023-10-02"/>
    <x v="3"/>
    <n v="1675399851"/>
    <d v="2023-02-03T04:50:51"/>
    <m/>
    <n v="0"/>
    <s v="Prefers email %"/>
    <s v="Prefers email "/>
  </r>
  <r>
    <n v="1701"/>
    <s v="John Smith"/>
    <s v="John Smith"/>
    <s v="John Smith"/>
    <n v="49"/>
    <n v="49"/>
    <x v="0"/>
    <s v="United Kingdom"/>
    <s v="2023-01-05"/>
    <s v="2023-01-05"/>
    <x v="7"/>
    <n v="1681452188"/>
    <d v="2023-04-14T06:03:08"/>
    <n v="1130.18"/>
    <n v="1130.18"/>
    <s v="Holiday signup %"/>
    <s v="Holiday signup "/>
  </r>
  <r>
    <n v="1007"/>
    <s v="Ethan Clark"/>
    <s v="Ethan Clark"/>
    <s v="Ethan Clark"/>
    <n v="43"/>
    <n v="43"/>
    <x v="3"/>
    <s v="United States"/>
    <s v="2023-11-05"/>
    <s v="2023-11-05"/>
    <x v="1"/>
    <n v="1701682978"/>
    <d v="2023-12-04T09:42:58"/>
    <n v="800.64"/>
    <n v="800.64"/>
    <s v="Newsletter subscriber %"/>
    <s v="Newsletter subscriber "/>
  </r>
  <r>
    <n v="2008"/>
    <s v="Li Wei"/>
    <s v="Li Wei"/>
    <s v="Li Wei"/>
    <n v="32"/>
    <n v="32"/>
    <x v="3"/>
    <s v="United States"/>
    <s v="26-11-2023"/>
    <s v="2023-11-26"/>
    <x v="1"/>
    <n v="1685174367"/>
    <d v="2023-05-27T07:59:27"/>
    <m/>
    <n v="0"/>
    <s v="Corporate account"/>
    <s v="Corporate account"/>
  </r>
  <r>
    <n v="2174"/>
    <s v=" Olivia Wilson "/>
    <s v="Olivia Wilson"/>
    <s v=" Olivia Wilson "/>
    <n v="42"/>
    <n v="42"/>
    <x v="3"/>
    <s v="United States"/>
    <s v="2023-06-09"/>
    <s v="2023-06-09"/>
    <x v="10"/>
    <n v="1692323120"/>
    <d v="2023-08-18T01:45:20"/>
    <m/>
    <n v="0"/>
    <s v="High engagement"/>
    <s v="High engagement"/>
  </r>
  <r>
    <n v="1656"/>
    <s v="Fatima Ali"/>
    <s v="Fatima Ali"/>
    <s v="Fatima Ali"/>
    <m/>
    <n v="43"/>
    <x v="8"/>
    <s v="Egypt"/>
    <s v="11/20/2023"/>
    <s v="2023-11-20"/>
    <x v="1"/>
    <n v="1689134300"/>
    <d v="2023-07-12T03:58:20"/>
    <m/>
    <n v="0"/>
    <s v="Great customer $$$"/>
    <s v="Great customer "/>
  </r>
  <r>
    <n v="2123"/>
    <s v="Noah Martin"/>
    <s v="Noah Martin"/>
    <s v="Noah Martin"/>
    <m/>
    <n v="43"/>
    <x v="13"/>
    <s v="China"/>
    <s v="2023-07-20"/>
    <s v="2023-07-20"/>
    <x v="8"/>
    <n v="1690235520"/>
    <d v="2023-07-24T21:52:00"/>
    <m/>
    <n v="0"/>
    <s v="VIP client $$$"/>
    <s v="VIP client "/>
  </r>
  <r>
    <n v="1889"/>
    <s v="Carlos García"/>
    <s v="Carlos García"/>
    <s v="Carlos García"/>
    <n v="43"/>
    <n v="43"/>
    <x v="0"/>
    <s v="United Kingdom"/>
    <s v="May 04 2023"/>
    <s v="2023-05-04"/>
    <x v="9"/>
    <n v="1688919564"/>
    <d v="2023-07-09T16:19:24"/>
    <n v="461.01"/>
    <n v="461.01"/>
    <s v="High engagement"/>
    <s v="High engagement"/>
  </r>
  <r>
    <n v="2137"/>
    <s v="Ethan Clark"/>
    <s v="Ethan Clark"/>
    <s v="Ethan Clark"/>
    <n v="25"/>
    <n v="25"/>
    <x v="1"/>
    <s v="Germany"/>
    <s v="12/01/2023"/>
    <s v="2023-12-01"/>
    <x v="0"/>
    <n v="1675470781"/>
    <d v="2023-02-04T00:33:01"/>
    <n v="848.12"/>
    <n v="848.12"/>
    <s v="Prefers email %"/>
    <s v="Prefers email "/>
  </r>
  <r>
    <n v="1912"/>
    <s v="Carlos García"/>
    <s v="Carlos García"/>
    <s v="Carlos García"/>
    <n v="38"/>
    <n v="38"/>
    <x v="14"/>
    <s v="Italy"/>
    <s v="2023-11-07T00:00:00Z"/>
    <s v="2023-11-07"/>
    <x v="1"/>
    <n v="1689656569"/>
    <d v="2023-07-18T05:02:49"/>
    <n v="322.66000000000003"/>
    <n v="322.66000000000003"/>
    <s v="Great customer $$$"/>
    <s v="Great customer "/>
  </r>
  <r>
    <n v="1486"/>
    <s v=" Maria Lopez "/>
    <s v="Maria Lopez"/>
    <s v=" Maria Lopez "/>
    <n v="37"/>
    <n v="37"/>
    <x v="9"/>
    <s v="Ireland"/>
    <s v="2023-04-21T00:00:00Z"/>
    <s v="2023-04-21"/>
    <x v="4"/>
    <n v="1684572227"/>
    <d v="2023-05-20T08:43:47"/>
    <m/>
    <n v="0"/>
    <s v="Prefers email %"/>
    <s v="Prefers email "/>
  </r>
  <r>
    <n v="1418"/>
    <s v="Li Wei"/>
    <s v="Li Wei"/>
    <s v="Li Wei"/>
    <n v="58"/>
    <n v="58"/>
    <x v="1"/>
    <s v="Germany"/>
    <s v="01-01-2024"/>
    <s v="2024-01-01"/>
    <x v="7"/>
    <n v="1691436692"/>
    <d v="2023-08-07T19:31:32"/>
    <n v="989.4"/>
    <n v="989.4"/>
    <s v="High engagement"/>
    <s v="High engagement"/>
  </r>
  <r>
    <n v="1675"/>
    <s v=" Liam O’Connor "/>
    <s v="Liam O’Connor"/>
    <s v=" Liam O’Connor "/>
    <n v="39"/>
    <n v="39"/>
    <x v="4"/>
    <s v="Spain"/>
    <s v="2023-05-21"/>
    <s v="2023-05-21"/>
    <x v="9"/>
    <n v="1675810551"/>
    <d v="2023-02-07T22:55:51"/>
    <n v="571.96"/>
    <n v="571.96"/>
    <s v="High engagement"/>
    <s v="High engagement"/>
  </r>
  <r>
    <n v="1216"/>
    <s v=" Anne Müller "/>
    <s v="Anne Müller"/>
    <s v=" Anne Müller "/>
    <n v="37"/>
    <n v="37"/>
    <x v="8"/>
    <s v="Egypt"/>
    <s v="2023-02-18T00:00:00Z"/>
    <s v="2023-02-18"/>
    <x v="2"/>
    <n v="1684231148"/>
    <d v="2023-05-16T09:59:08"/>
    <m/>
    <n v="0"/>
    <s v="Corporate account"/>
    <s v="Corporate account"/>
  </r>
  <r>
    <n v="1556"/>
    <s v=" Mia Thompson "/>
    <s v="Mia Thompson"/>
    <s v=" Mia Thompson "/>
    <m/>
    <n v="43"/>
    <x v="13"/>
    <s v="China"/>
    <s v="03-04-2023"/>
    <s v="2023-03-04"/>
    <x v="6"/>
    <n v="1699571724"/>
    <d v="2023-11-09T23:15:24"/>
    <m/>
    <n v="0"/>
    <s v="Regular shopper"/>
    <s v="Regular shopper"/>
  </r>
  <r>
    <n v="2179"/>
    <s v=" Maria Lopez "/>
    <s v="Maria Lopez"/>
    <s v=" Maria Lopez "/>
    <m/>
    <n v="43"/>
    <x v="3"/>
    <s v="United States"/>
    <s v="2023-08-06T00:00:00Z"/>
    <s v="2023-08-06"/>
    <x v="11"/>
    <n v="1703811542"/>
    <d v="2023-12-29T00:59:02"/>
    <m/>
    <n v="0"/>
    <s v="Regular shopper"/>
    <s v="Regular shopper"/>
  </r>
  <r>
    <n v="2055"/>
    <s v="Zoë Kravitz"/>
    <s v="Zoë Kravitz"/>
    <s v="Zoë Kravitz"/>
    <n v="52"/>
    <n v="52"/>
    <x v="13"/>
    <s v="China"/>
    <s v="2023-01-08T00:00:00Z"/>
    <s v="2023-01-08"/>
    <x v="7"/>
    <n v="1678905516"/>
    <d v="2023-03-15T18:38:36"/>
    <n v="1367.22"/>
    <n v="1367.22"/>
    <s v="High engagement"/>
    <s v="High engagement"/>
  </r>
  <r>
    <n v="2095"/>
    <s v="André Santos"/>
    <s v="André Santos"/>
    <s v="André Santos"/>
    <n v="60"/>
    <n v="60"/>
    <x v="3"/>
    <s v="United States"/>
    <s v="November 07 2023"/>
    <s v="2023-11-07"/>
    <x v="1"/>
    <n v="1678179006"/>
    <d v="2023-03-07T08:50:06"/>
    <n v="1015.04"/>
    <n v="1015.04"/>
    <s v="Frequent buyer ñ"/>
    <s v="Frequent buyer n"/>
  </r>
  <r>
    <n v="1154"/>
    <s v="Olivia Wilson"/>
    <s v="Olivia Wilson"/>
    <s v="Olivia Wilson"/>
    <n v="50"/>
    <n v="50"/>
    <x v="5"/>
    <s v="UAE"/>
    <s v="September 11 2023"/>
    <s v="2023-09-11"/>
    <x v="5"/>
    <n v="1678244492"/>
    <d v="2023-03-08T03:01:32"/>
    <n v="566.19000000000005"/>
    <n v="566.19000000000005"/>
    <s v="Newsletter subscriber %"/>
    <s v="Newsletter subscriber "/>
  </r>
  <r>
    <n v="1625"/>
    <s v="Liam O’Connor"/>
    <s v="Liam O’Connor"/>
    <s v="Liam O’Connor"/>
    <n v="47"/>
    <n v="47"/>
    <x v="8"/>
    <s v="Egypt"/>
    <s v="30-01-2023"/>
    <s v="2023-01-30"/>
    <x v="7"/>
    <n v="1672721672"/>
    <d v="2023-01-03T04:54:32"/>
    <m/>
    <n v="0"/>
    <s v="Student account"/>
    <s v="Student account"/>
  </r>
  <r>
    <n v="1725"/>
    <s v=" Anne Müller "/>
    <s v="Anne Müller"/>
    <s v=" Anne Müller "/>
    <m/>
    <n v="43"/>
    <x v="14"/>
    <s v="Italy"/>
    <s v="2023-01-05"/>
    <s v="2023-01-05"/>
    <x v="7"/>
    <n v="1686979377"/>
    <d v="2023-06-17T05:22:57"/>
    <n v="743.15"/>
    <n v="743.15"/>
    <s v="Corporate account"/>
    <s v="Corporate account"/>
  </r>
  <r>
    <n v="1374"/>
    <s v="Chloe Dubois"/>
    <s v="Chloe Dubois"/>
    <s v="Chloe Dubois"/>
    <n v="46"/>
    <n v="46"/>
    <x v="12"/>
    <s v="South Korea"/>
    <s v="03/24/2023"/>
    <s v="2023-03-24"/>
    <x v="6"/>
    <n v="1684393470"/>
    <d v="2023-05-18T07:04:30"/>
    <n v="1123.17"/>
    <n v="1123.17"/>
    <s v="Newsletter subscriber %"/>
    <s v="Newsletter subscriber "/>
  </r>
  <r>
    <n v="1225"/>
    <s v="Anne Müller"/>
    <s v="Anne Müller"/>
    <s v="Anne Müller"/>
    <m/>
    <n v="43"/>
    <x v="10"/>
    <s v="Sweden"/>
    <s v="01/07/2023"/>
    <s v="2023-01-07"/>
    <x v="7"/>
    <n v="1674270167"/>
    <d v="2023-01-21T03:02:47"/>
    <m/>
    <n v="0"/>
    <s v="High engagement"/>
    <s v="High engagement"/>
  </r>
  <r>
    <n v="1017"/>
    <s v="Sofia Rossi"/>
    <s v="Sofia Rossi"/>
    <s v="Sofia Rossi"/>
    <n v="36"/>
    <n v="36"/>
    <x v="5"/>
    <s v="UAE"/>
    <s v="2023-05-07T00:00:00Z"/>
    <s v="2023-05-07"/>
    <x v="9"/>
    <n v="1677640907"/>
    <d v="2023-03-01T03:21:47"/>
    <n v="1096.58"/>
    <n v="1096.58"/>
    <s v="VIP client $$$"/>
    <s v="VIP client "/>
  </r>
  <r>
    <n v="1372"/>
    <s v="David Brown"/>
    <s v="David Brown"/>
    <s v="David Brown"/>
    <n v="58"/>
    <n v="58"/>
    <x v="0"/>
    <s v="United Kingdom"/>
    <s v="2023-04-28"/>
    <s v="2023-04-28"/>
    <x v="4"/>
    <n v="1676963110"/>
    <d v="2023-02-21T07:05:10"/>
    <m/>
    <n v="0"/>
    <s v="VIP client $$$"/>
    <s v="VIP client "/>
  </r>
  <r>
    <n v="1506"/>
    <s v="Lucas Silva"/>
    <s v="Lucas Silva"/>
    <s v="Lucas Silva"/>
    <n v="29"/>
    <n v="29"/>
    <x v="3"/>
    <s v="United States"/>
    <s v="05-12-2023"/>
    <s v="2023-05-12"/>
    <x v="9"/>
    <n v="1679636786"/>
    <d v="2023-03-24T05:46:26"/>
    <m/>
    <n v="0"/>
    <s v="Holiday signup %"/>
    <s v="Holiday signup "/>
  </r>
  <r>
    <n v="1268"/>
    <s v="Liam O’Connor"/>
    <s v="Liam O’Connor"/>
    <s v="Liam O’Connor"/>
    <n v="20"/>
    <n v="20"/>
    <x v="1"/>
    <s v="Germany"/>
    <s v="April 09 2023"/>
    <s v="2023-04-09"/>
    <x v="4"/>
    <n v="1703578648"/>
    <d v="2023-12-26T08:17:28"/>
    <m/>
    <n v="0"/>
    <s v="Student account"/>
    <s v="Student account"/>
  </r>
  <r>
    <n v="1972"/>
    <s v=" Björn Larsson "/>
    <s v="Björn Larsson"/>
    <s v=" Björn Larsson "/>
    <n v="64"/>
    <n v="64"/>
    <x v="0"/>
    <s v="United Kingdom"/>
    <s v="April 09 2023"/>
    <s v="2023-04-09"/>
    <x v="4"/>
    <n v="1690995569"/>
    <d v="2023-08-02T16:59:29"/>
    <m/>
    <n v="0"/>
    <s v="Newsletter subscriber %"/>
    <s v="Newsletter subscriber "/>
  </r>
  <r>
    <n v="1919"/>
    <s v="Liam O’Connor"/>
    <s v="Liam O’Connor"/>
    <s v="Liam O’Connor"/>
    <m/>
    <n v="43"/>
    <x v="5"/>
    <s v="UAE"/>
    <s v="2023-09-26T00:00:00Z"/>
    <s v="2023-09-26"/>
    <x v="5"/>
    <n v="1699061702"/>
    <d v="2023-11-04T01:35:02"/>
    <m/>
    <n v="0"/>
    <s v="Frequent buyer ñ"/>
    <s v="Frequent buyer n"/>
  </r>
  <r>
    <n v="1594"/>
    <s v="Maria Lopez"/>
    <s v="Maria Lopez"/>
    <s v="Maria Lopez"/>
    <n v="21"/>
    <n v="21"/>
    <x v="13"/>
    <s v="China"/>
    <s v="2023-09-11T00:00:00Z"/>
    <s v="2023-09-11"/>
    <x v="5"/>
    <n v="1701724936"/>
    <d v="2023-12-04T21:22:16"/>
    <n v="775.1"/>
    <n v="775.1"/>
    <s v="Frequent buyer ñ"/>
    <s v="Frequent buyer n"/>
  </r>
  <r>
    <n v="1019"/>
    <s v="Ahmed Hassan"/>
    <s v="Ahmed Hassan"/>
    <s v="Ahmed Hassan"/>
    <n v="64"/>
    <n v="64"/>
    <x v="7"/>
    <s v="Brazil"/>
    <s v="06/05/2023"/>
    <s v="2023-06-05"/>
    <x v="10"/>
    <n v="1682468315"/>
    <d v="2023-04-26T00:18:35"/>
    <n v="1065.3"/>
    <n v="1065.3"/>
    <s v="Frequent buyer ñ"/>
    <s v="Frequent buyer n"/>
  </r>
  <r>
    <n v="1459"/>
    <s v="Maria Lopez"/>
    <s v="Maria Lopez"/>
    <s v="Maria Lopez"/>
    <n v="20"/>
    <n v="20"/>
    <x v="0"/>
    <s v="United Kingdom"/>
    <s v="05/23/2023"/>
    <s v="2023-05-23"/>
    <x v="9"/>
    <n v="1681598287"/>
    <d v="2023-04-15T22:38:07"/>
    <n v="1311.34"/>
    <n v="1311.34"/>
    <s v="VIP client $$$"/>
    <s v="VIP client "/>
  </r>
  <r>
    <n v="2195"/>
    <s v="Anne Müller"/>
    <s v="Anne Müller"/>
    <s v="Anne Müller"/>
    <n v="42"/>
    <n v="42"/>
    <x v="7"/>
    <s v="Brazil"/>
    <s v="2023-11-17T00:00:00Z"/>
    <s v="2023-11-17"/>
    <x v="1"/>
    <n v="1691008391"/>
    <d v="2023-08-02T20:33:11"/>
    <m/>
    <n v="0"/>
    <s v="VIP client $$$"/>
    <s v="VIP client "/>
  </r>
  <r>
    <n v="1665"/>
    <s v=" Akira Tanaka "/>
    <s v="Akira Tanaka"/>
    <s v=" Akira Tanaka "/>
    <n v="58"/>
    <n v="58"/>
    <x v="12"/>
    <s v="South Korea"/>
    <s v="April 29 2023"/>
    <s v="2023-04-29"/>
    <x v="4"/>
    <n v="1684893506"/>
    <d v="2023-05-24T01:58:26"/>
    <m/>
    <n v="0"/>
    <s v="Prefers email %"/>
    <s v="Prefers email "/>
  </r>
  <r>
    <n v="2016"/>
    <s v="Sarah Johnson"/>
    <s v="Sarah Johnson"/>
    <s v="Sarah Johnson"/>
    <n v="30"/>
    <n v="30"/>
    <x v="8"/>
    <s v="Egypt"/>
    <s v="03-04-2023"/>
    <s v="2023-03-04"/>
    <x v="6"/>
    <n v="1673230230"/>
    <d v="2023-01-09T02:10:30"/>
    <n v="472.14"/>
    <n v="472.14"/>
    <s v="High engagement"/>
    <s v="High engagement"/>
  </r>
  <r>
    <n v="1205"/>
    <s v="Noah Martin"/>
    <s v="Noah Martin"/>
    <s v="Noah Martin"/>
    <n v="18"/>
    <n v="18"/>
    <x v="3"/>
    <s v="United States"/>
    <s v="03/09/2023"/>
    <s v="2023-03-09"/>
    <x v="6"/>
    <n v="1698364859"/>
    <d v="2023-10-27T00:00:59"/>
    <n v="134.56"/>
    <n v="134.56"/>
    <s v="Holiday signup %"/>
    <s v="Holiday signup "/>
  </r>
  <r>
    <n v="1028"/>
    <s v="John Smith"/>
    <s v="John Smith"/>
    <s v="John Smith"/>
    <n v="52"/>
    <n v="52"/>
    <x v="2"/>
    <s v="Japan"/>
    <s v="2023-12-29"/>
    <s v="2023-12-29"/>
    <x v="0"/>
    <n v="1679312787"/>
    <d v="2023-03-20T11:46:27"/>
    <m/>
    <n v="0"/>
    <s v="Frequent buyer ñ"/>
    <s v="Frequent buyer n"/>
  </r>
  <r>
    <n v="1630"/>
    <s v="Lucas Silva"/>
    <s v="Lucas Silva"/>
    <s v="Lucas Silva"/>
    <n v="21"/>
    <n v="21"/>
    <x v="7"/>
    <s v="Brazil"/>
    <s v="2023-11-18T00:00:00Z"/>
    <s v="2023-11-18"/>
    <x v="1"/>
    <n v="1676653729"/>
    <d v="2023-02-17T17:08:49"/>
    <n v="41.6"/>
    <n v="41.6"/>
    <s v="Prefers email %"/>
    <s v="Prefers email "/>
  </r>
  <r>
    <n v="2116"/>
    <s v=" Fatima Ali "/>
    <s v="Fatima Ali"/>
    <s v=" Fatima Ali "/>
    <n v="44"/>
    <n v="44"/>
    <x v="4"/>
    <s v="Spain"/>
    <s v="01/13/2023"/>
    <s v="2023-01-13"/>
    <x v="7"/>
    <n v="1686856286"/>
    <d v="2023-06-15T19:11:26"/>
    <m/>
    <n v="0"/>
    <s v="Student account"/>
    <s v="Student account"/>
  </r>
  <r>
    <n v="1172"/>
    <s v="Daniel Kim"/>
    <s v="Daniel Kim"/>
    <s v="Daniel Kim"/>
    <n v="54"/>
    <n v="54"/>
    <x v="4"/>
    <s v="Spain"/>
    <s v="2023-12-26"/>
    <s v="2023-12-26"/>
    <x v="0"/>
    <n v="1680415769"/>
    <d v="2023-04-02T06:09:29"/>
    <n v="548.95000000000005"/>
    <n v="548.95000000000005"/>
    <s v="Great customer $$$"/>
    <s v="Great customer "/>
  </r>
  <r>
    <n v="1743"/>
    <s v="Chloe Dubois"/>
    <s v="Chloe Dubois"/>
    <s v="Chloe Dubois"/>
    <n v="26"/>
    <n v="26"/>
    <x v="14"/>
    <s v="Italy"/>
    <s v="07/04/2023"/>
    <s v="2023-07-04"/>
    <x v="8"/>
    <n v="1682412400"/>
    <d v="2023-04-25T08:46:40"/>
    <m/>
    <n v="0"/>
    <s v="VIP client $$$"/>
    <s v="VIP client "/>
  </r>
  <r>
    <n v="1218"/>
    <s v="Zoë Kravitz"/>
    <s v="Zoë Kravitz"/>
    <s v="Zoë Kravitz"/>
    <n v="48"/>
    <n v="48"/>
    <x v="3"/>
    <s v="United States"/>
    <s v="17-03-2023"/>
    <s v="2023-03-17"/>
    <x v="6"/>
    <n v="1677264486"/>
    <d v="2023-02-24T18:48:06"/>
    <n v="127.7"/>
    <n v="127.7"/>
    <s v="Great customer $$$"/>
    <s v="Great customer "/>
  </r>
  <r>
    <n v="1434"/>
    <s v="Noah Martin"/>
    <s v="Noah Martin"/>
    <s v="Noah Martin"/>
    <n v="32"/>
    <n v="32"/>
    <x v="9"/>
    <s v="Ireland"/>
    <s v="2023-11-06"/>
    <s v="2023-11-06"/>
    <x v="1"/>
    <n v="1699923167"/>
    <d v="2023-11-14T00:52:47"/>
    <m/>
    <n v="0"/>
    <s v="Newsletter subscriber %"/>
    <s v="Newsletter subscriber "/>
  </r>
  <r>
    <n v="1830"/>
    <s v=" Noah Martin "/>
    <s v="Noah Martin"/>
    <s v=" Noah Martin "/>
    <m/>
    <n v="43"/>
    <x v="1"/>
    <s v="Germany"/>
    <s v="2023-05-19"/>
    <s v="2023-05-19"/>
    <x v="9"/>
    <n v="1676027084"/>
    <d v="2023-02-10T11:04:44"/>
    <m/>
    <n v="0"/>
    <s v="Great customer $$$"/>
    <s v="Great customer "/>
  </r>
  <r>
    <n v="1731"/>
    <s v=" Björn Larsson "/>
    <s v="Björn Larsson"/>
    <s v=" Björn Larsson "/>
    <n v="43"/>
    <n v="43"/>
    <x v="2"/>
    <s v="Japan"/>
    <s v="20-07-2023"/>
    <s v="2023-07-20"/>
    <x v="8"/>
    <n v="1676869865"/>
    <d v="2023-02-20T05:11:05"/>
    <n v="1056.96"/>
    <n v="1056.96"/>
    <s v="Newsletter subscriber %"/>
    <s v="Newsletter subscriber "/>
  </r>
  <r>
    <n v="1835"/>
    <s v="André Santos"/>
    <s v="André Santos"/>
    <s v="André Santos"/>
    <n v="50"/>
    <n v="50"/>
    <x v="13"/>
    <s v="China"/>
    <s v="2023-09-02T00:00:00Z"/>
    <s v="2023-09-02"/>
    <x v="5"/>
    <n v="1701676504"/>
    <d v="2023-12-04T07:55:04"/>
    <m/>
    <n v="0"/>
    <s v="Frequent buyer ñ"/>
    <s v="Frequent buyer n"/>
  </r>
  <r>
    <n v="1311"/>
    <s v="Zoë Kravitz"/>
    <s v="Zoë Kravitz"/>
    <s v="Zoë Kravitz"/>
    <n v="23"/>
    <n v="23"/>
    <x v="4"/>
    <s v="Spain"/>
    <s v="04/21/2023"/>
    <s v="2023-04-21"/>
    <x v="4"/>
    <n v="1698321510"/>
    <d v="2023-10-26T11:58:30"/>
    <m/>
    <n v="0"/>
    <s v="Regular shopper"/>
    <s v="Regular shopper"/>
  </r>
  <r>
    <n v="2019"/>
    <s v="Anne Müller"/>
    <s v="Anne Müller"/>
    <s v="Anne Müller"/>
    <n v="37"/>
    <n v="37"/>
    <x v="3"/>
    <s v="United States"/>
    <s v="2023-09-13"/>
    <s v="2023-09-13"/>
    <x v="5"/>
    <n v="1687784819"/>
    <d v="2023-06-26T13:06:59"/>
    <m/>
    <n v="0"/>
    <s v="Frequent buyer ñ"/>
    <s v="Frequent buyer n"/>
  </r>
  <r>
    <n v="1140"/>
    <s v="Akira Tanaka"/>
    <s v="Akira Tanaka"/>
    <s v="Akira Tanaka"/>
    <n v="40"/>
    <n v="40"/>
    <x v="6"/>
    <s v="France"/>
    <s v="December 30 2023"/>
    <s v="2023-12-30"/>
    <x v="0"/>
    <n v="1681179167"/>
    <d v="2023-04-11T02:12:47"/>
    <m/>
    <n v="0"/>
    <s v="Regular shopper"/>
    <s v="Regular shopper"/>
  </r>
  <r>
    <n v="1288"/>
    <s v="Anne Müller"/>
    <s v="Anne Müller"/>
    <s v="Anne Müller"/>
    <m/>
    <n v="43"/>
    <x v="11"/>
    <s v="Mexico"/>
    <s v="July 25 2023"/>
    <s v="2023-07-25"/>
    <x v="8"/>
    <n v="1701280180"/>
    <d v="2023-11-29T17:49:40"/>
    <n v="933.33"/>
    <n v="933.33"/>
    <s v="Regular shopper"/>
    <s v="Regular shopper"/>
  </r>
  <r>
    <n v="1752"/>
    <s v="Ahmed Hassan"/>
    <s v="Ahmed Hassan"/>
    <s v="Ahmed Hassan"/>
    <n v="38"/>
    <n v="38"/>
    <x v="5"/>
    <s v="UAE"/>
    <s v="September 17 2023"/>
    <s v="2023-09-17"/>
    <x v="5"/>
    <n v="1681343025"/>
    <d v="2023-04-12T23:43:45"/>
    <n v="1317.34"/>
    <n v="1317.34"/>
    <s v="Holiday signup %"/>
    <s v="Holiday signup "/>
  </r>
  <r>
    <n v="1117"/>
    <s v="André Santos"/>
    <s v="André Santos"/>
    <s v="André Santos"/>
    <n v="62"/>
    <n v="62"/>
    <x v="0"/>
    <s v="United Kingdom"/>
    <s v="23-02-2023"/>
    <s v="2023-02-23"/>
    <x v="2"/>
    <n v="1685134483"/>
    <d v="2023-05-26T20:54:43"/>
    <m/>
    <n v="0"/>
    <s v="Prefers email %"/>
    <s v="Prefers email "/>
  </r>
  <r>
    <n v="1457"/>
    <s v="Noah Martin"/>
    <s v="Noah Martin"/>
    <s v="Noah Martin"/>
    <m/>
    <n v="43"/>
    <x v="12"/>
    <s v="South Korea"/>
    <s v="2023-08-28T00:00:00Z"/>
    <s v="2023-08-28"/>
    <x v="11"/>
    <n v="1702727233"/>
    <d v="2023-12-16T11:47:13"/>
    <n v="1229.25"/>
    <n v="1229.25"/>
    <s v="Prefers email %"/>
    <s v="Prefers email "/>
  </r>
  <r>
    <n v="1727"/>
    <s v="Renée Dupont"/>
    <s v="Renée Dupont"/>
    <s v="Renée Dupont"/>
    <n v="53"/>
    <n v="53"/>
    <x v="1"/>
    <s v="Germany"/>
    <s v="2023-02-09T00:00:00Z"/>
    <s v="2023-02-09"/>
    <x v="2"/>
    <n v="1693210722"/>
    <d v="2023-08-28T08:18:42"/>
    <m/>
    <n v="0"/>
    <s v="Great customer $$$"/>
    <s v="Great customer "/>
  </r>
  <r>
    <n v="1921"/>
    <s v="Liam O’Connor"/>
    <s v="Liam O’Connor"/>
    <s v="Liam O’Connor"/>
    <n v="24"/>
    <n v="24"/>
    <x v="1"/>
    <s v="Germany"/>
    <s v="2023-08-04T00:00:00Z"/>
    <s v="2023-08-04"/>
    <x v="11"/>
    <n v="1698508028"/>
    <d v="2023-10-28T15:47:08"/>
    <m/>
    <n v="0"/>
    <s v="VIP client $$$"/>
    <s v="VIP client "/>
  </r>
  <r>
    <n v="1363"/>
    <s v="Chloe Dubois"/>
    <s v="Chloe Dubois"/>
    <s v="Chloe Dubois"/>
    <m/>
    <n v="43"/>
    <x v="11"/>
    <s v="Mexico"/>
    <s v="December 04 2023"/>
    <s v="2023-12-04"/>
    <x v="0"/>
    <n v="1693801108"/>
    <d v="2023-09-04T04:18:28"/>
    <n v="432.04"/>
    <n v="432.04"/>
    <s v="Prefers email %"/>
    <s v="Prefers email "/>
  </r>
  <r>
    <n v="1862"/>
    <s v=" David Brown "/>
    <s v="David Brown"/>
    <s v=" David Brown "/>
    <m/>
    <n v="43"/>
    <x v="0"/>
    <s v="United Kingdom"/>
    <s v="April 11 2023"/>
    <s v="2023-04-11"/>
    <x v="4"/>
    <n v="1676699532"/>
    <d v="2023-02-18T05:52:12"/>
    <m/>
    <n v="0"/>
    <s v="High engagement"/>
    <s v="High engagement"/>
  </r>
  <r>
    <n v="1811"/>
    <s v="John Smith"/>
    <s v="John Smith"/>
    <s v="John Smith"/>
    <m/>
    <n v="43"/>
    <x v="7"/>
    <s v="Brazil"/>
    <s v="04-12-2023"/>
    <s v="2023-04-12"/>
    <x v="4"/>
    <n v="1682838521"/>
    <d v="2023-04-30T07:08:41"/>
    <m/>
    <n v="0"/>
    <s v="VIP client $$$"/>
    <s v="VIP client "/>
  </r>
  <r>
    <n v="1326"/>
    <s v=" Lucas Silva "/>
    <s v="Lucas Silva"/>
    <s v=" Lucas Silva "/>
    <m/>
    <n v="43"/>
    <x v="3"/>
    <s v="United States"/>
    <s v="2023-11-18T00:00:00Z"/>
    <s v="2023-11-18"/>
    <x v="1"/>
    <n v="1677659459"/>
    <d v="2023-03-01T08:30:59"/>
    <n v="51.45"/>
    <n v="51.45"/>
    <s v="Holiday signup %"/>
    <s v="Holiday signup "/>
  </r>
  <r>
    <n v="1784"/>
    <s v="John Smith"/>
    <s v="John Smith"/>
    <s v="John Smith"/>
    <n v="47"/>
    <n v="47"/>
    <x v="14"/>
    <s v="Italy"/>
    <s v="04/06/2023"/>
    <s v="2023-04-06"/>
    <x v="4"/>
    <n v="1694419029"/>
    <d v="2023-09-11T07:57:09"/>
    <m/>
    <n v="0"/>
    <s v="VIP client $$$"/>
    <s v="VIP client "/>
  </r>
  <r>
    <n v="2097"/>
    <s v="Emily Davis"/>
    <s v="Emily Davis"/>
    <s v="Emily Davis"/>
    <n v="34"/>
    <n v="34"/>
    <x v="3"/>
    <s v="United States"/>
    <s v="2023-05-21"/>
    <s v="2023-05-21"/>
    <x v="9"/>
    <n v="1703896585"/>
    <d v="2023-12-30T00:36:25"/>
    <n v="224.22"/>
    <n v="224.22"/>
    <s v="Holiday signup %"/>
    <s v="Holiday signup "/>
  </r>
  <r>
    <n v="1924"/>
    <s v=" Sarah Johnson "/>
    <s v="Sarah Johnson"/>
    <s v=" Sarah Johnson "/>
    <n v="29"/>
    <n v="29"/>
    <x v="3"/>
    <s v="United States"/>
    <s v="02-03-2023"/>
    <s v="2023-02-03"/>
    <x v="2"/>
    <n v="1684160130"/>
    <d v="2023-05-15T14:15:30"/>
    <n v="731.03"/>
    <n v="731.03"/>
    <s v="Frequent buyer ñ"/>
    <s v="Frequent buyer n"/>
  </r>
  <r>
    <n v="1748"/>
    <s v="Anne Müller"/>
    <s v="Anne Müller"/>
    <s v="Anne Müller"/>
    <n v="19"/>
    <n v="19"/>
    <x v="4"/>
    <s v="Spain"/>
    <s v="02/12/2023"/>
    <s v="2023-02-12"/>
    <x v="2"/>
    <n v="1681502848"/>
    <d v="2023-04-14T20:07:28"/>
    <n v="417.76"/>
    <n v="417.76"/>
    <s v="Prefers email %"/>
    <s v="Prefers email "/>
  </r>
  <r>
    <n v="1406"/>
    <s v="Zoë Kravitz"/>
    <s v="Zoë Kravitz"/>
    <s v="Zoë Kravitz"/>
    <m/>
    <n v="43"/>
    <x v="0"/>
    <s v="United Kingdom"/>
    <s v="2023-10-26T00:00:00Z"/>
    <s v="2023-10-26"/>
    <x v="3"/>
    <n v="1682979062"/>
    <d v="2023-05-01T22:11:02"/>
    <n v="256.82"/>
    <n v="256.82"/>
    <s v="Regular shopper"/>
    <s v="Regular shopper"/>
  </r>
  <r>
    <n v="1132"/>
    <s v=" Ethan Clark "/>
    <s v="Ethan Clark"/>
    <s v=" Ethan Clark "/>
    <m/>
    <n v="43"/>
    <x v="5"/>
    <s v="UAE"/>
    <s v="2023-05-31T00:00:00Z"/>
    <s v="2023-05-31"/>
    <x v="9"/>
    <n v="1700262993"/>
    <d v="2023-11-17T23:16:33"/>
    <m/>
    <n v="0"/>
    <s v="High engagement"/>
    <s v="High engagement"/>
  </r>
  <r>
    <n v="1062"/>
    <s v=" Anne Müller "/>
    <s v="Anne Müller"/>
    <s v=" Anne Müller "/>
    <n v="38"/>
    <n v="38"/>
    <x v="14"/>
    <s v="Italy"/>
    <s v="2023-05-06"/>
    <s v="2023-05-06"/>
    <x v="9"/>
    <n v="1679744382"/>
    <d v="2023-03-25T11:39:42"/>
    <m/>
    <n v="0"/>
    <s v="Frequent buyer ñ"/>
    <s v="Frequent buyer n"/>
  </r>
  <r>
    <n v="1644"/>
    <s v=" Anne Müller "/>
    <s v="Anne Müller"/>
    <s v=" Anne Müller "/>
    <n v="18"/>
    <n v="18"/>
    <x v="2"/>
    <s v="Japan"/>
    <s v="April 20 2023"/>
    <s v="2023-04-20"/>
    <x v="4"/>
    <n v="1691565108"/>
    <d v="2023-08-09T07:11:48"/>
    <n v="1194.9100000000001"/>
    <n v="1194.9100000000001"/>
    <s v="Corporate account"/>
    <s v="Corporate account"/>
  </r>
  <r>
    <n v="1245"/>
    <s v="Anne Müller"/>
    <s v="Anne Müller"/>
    <s v="Anne Müller"/>
    <n v="38"/>
    <n v="38"/>
    <x v="13"/>
    <s v="China"/>
    <s v="2023-05-02T00:00:00Z"/>
    <s v="2023-05-02"/>
    <x v="9"/>
    <n v="1673237659"/>
    <d v="2023-01-09T04:14:19"/>
    <n v="434.71"/>
    <n v="434.71"/>
    <s v="Regular shopper"/>
    <s v="Regular shopper"/>
  </r>
  <r>
    <n v="1583"/>
    <s v="Carlos García"/>
    <s v="Carlos García"/>
    <s v="Carlos García"/>
    <n v="20"/>
    <n v="20"/>
    <x v="10"/>
    <s v="Sweden"/>
    <s v="21-01-2023"/>
    <s v="2023-01-21"/>
    <x v="7"/>
    <n v="1694159081"/>
    <d v="2023-09-08T07:44:41"/>
    <m/>
    <n v="0"/>
    <s v="Prefers email %"/>
    <s v="Prefers email "/>
  </r>
  <r>
    <n v="1851"/>
    <s v="André Santos"/>
    <s v="André Santos"/>
    <s v="André Santos"/>
    <m/>
    <n v="43"/>
    <x v="3"/>
    <s v="United States"/>
    <s v="12-10-2023"/>
    <s v="2023-12-10"/>
    <x v="0"/>
    <n v="1689093802"/>
    <d v="2023-07-11T16:43:22"/>
    <m/>
    <n v="0"/>
    <s v="Student account"/>
    <s v="Student account"/>
  </r>
  <r>
    <n v="1979"/>
    <s v="Zoë Kravitz"/>
    <s v="Zoë Kravitz"/>
    <s v="Zoë Kravitz"/>
    <n v="38"/>
    <n v="38"/>
    <x v="8"/>
    <s v="Egypt"/>
    <s v="2023-04-26"/>
    <s v="2023-04-26"/>
    <x v="4"/>
    <n v="1681376062"/>
    <d v="2023-04-13T08:54:22"/>
    <n v="1151.6400000000001"/>
    <n v="1151.6400000000001"/>
    <s v="Newsletter subscriber %"/>
    <s v="Newsletter subscriber "/>
  </r>
  <r>
    <n v="1884"/>
    <s v=" David Brown "/>
    <s v="David Brown"/>
    <s v=" David Brown "/>
    <n v="45"/>
    <n v="45"/>
    <x v="2"/>
    <s v="Japan"/>
    <s v="January 28 2023"/>
    <s v="2023-01-28"/>
    <x v="7"/>
    <n v="1681670564"/>
    <d v="2023-04-16T18:42:44"/>
    <n v="560.97"/>
    <n v="560.97"/>
    <s v="High engagement"/>
    <s v="High engagement"/>
  </r>
  <r>
    <n v="1510"/>
    <s v=" Anne Müller "/>
    <s v="Anne Müller"/>
    <s v=" Anne Müller "/>
    <n v="20"/>
    <n v="20"/>
    <x v="7"/>
    <s v="Brazil"/>
    <s v="2023-05-03"/>
    <s v="2023-05-03"/>
    <x v="9"/>
    <n v="1690379377"/>
    <d v="2023-07-26T13:49:37"/>
    <n v="160.54"/>
    <n v="160.54"/>
    <s v="Holiday signup %"/>
    <s v="Holiday signup "/>
  </r>
  <r>
    <n v="1384"/>
    <s v="Lucas Silva"/>
    <s v="Lucas Silva"/>
    <s v="Lucas Silva"/>
    <n v="18"/>
    <n v="18"/>
    <x v="8"/>
    <s v="Egypt"/>
    <s v="08-08-2023"/>
    <s v="2023-08-08"/>
    <x v="11"/>
    <n v="1673222833"/>
    <d v="2023-01-09T00:07:13"/>
    <m/>
    <n v="0"/>
    <s v="Prefers email %"/>
    <s v="Prefers email "/>
  </r>
  <r>
    <n v="1093"/>
    <s v="John Smith"/>
    <s v="John Smith"/>
    <s v="John Smith"/>
    <n v="32"/>
    <n v="32"/>
    <x v="10"/>
    <s v="Sweden"/>
    <s v="03/27/2023"/>
    <s v="2023-03-27"/>
    <x v="6"/>
    <n v="1698537293"/>
    <d v="2023-10-28T23:54:53"/>
    <m/>
    <n v="0"/>
    <s v="Newsletter subscriber %"/>
    <s v="Newsletter subscriber "/>
  </r>
  <r>
    <n v="1774"/>
    <s v=" Liam O’Connor "/>
    <s v="Liam O’Connor"/>
    <s v=" Liam O’Connor "/>
    <n v="58"/>
    <n v="58"/>
    <x v="9"/>
    <s v="Ireland"/>
    <s v="2023-08-19T00:00:00Z"/>
    <s v="2023-08-19"/>
    <x v="11"/>
    <n v="1678394423"/>
    <d v="2023-03-09T20:40:23"/>
    <m/>
    <n v="0"/>
    <s v="Newsletter subscriber %"/>
    <s v="Newsletter subscriber "/>
  </r>
  <r>
    <n v="1801"/>
    <s v="Daniel Kim"/>
    <s v="Daniel Kim"/>
    <s v="Daniel Kim"/>
    <n v="35"/>
    <n v="35"/>
    <x v="3"/>
    <s v="United States"/>
    <s v="2023-10-24T00:00:00Z"/>
    <s v="2023-10-24"/>
    <x v="3"/>
    <n v="1696073696"/>
    <d v="2023-09-30T11:34:56"/>
    <n v="521.48"/>
    <n v="521.48"/>
    <s v="High engagement"/>
    <s v="High engagement"/>
  </r>
  <r>
    <n v="1555"/>
    <s v="Carlos García"/>
    <s v="Carlos García"/>
    <s v="Carlos García"/>
    <n v="45"/>
    <n v="45"/>
    <x v="3"/>
    <s v="United States"/>
    <s v="05/29/2023"/>
    <s v="2023-05-29"/>
    <x v="9"/>
    <n v="1673602328"/>
    <d v="2023-01-13T09:32:08"/>
    <m/>
    <n v="0"/>
    <s v="VIP client $$$"/>
    <s v="VIP client "/>
  </r>
  <r>
    <n v="1792"/>
    <s v="Sofia Rossi"/>
    <s v="Sofia Rossi"/>
    <s v="Sofia Rossi"/>
    <m/>
    <n v="43"/>
    <x v="11"/>
    <s v="Mexico"/>
    <s v="2023-03-30T00:00:00Z"/>
    <s v="2023-03-30"/>
    <x v="6"/>
    <n v="1687147567"/>
    <d v="2023-06-19T04:06:07"/>
    <m/>
    <n v="0"/>
    <s v="Holiday signup %"/>
    <s v="Holiday signup "/>
  </r>
  <r>
    <n v="1376"/>
    <s v="Noah Martin"/>
    <s v="Noah Martin"/>
    <s v="Noah Martin"/>
    <n v="45"/>
    <n v="45"/>
    <x v="10"/>
    <s v="Sweden"/>
    <s v="15-08-2023"/>
    <s v="2023-08-15"/>
    <x v="11"/>
    <n v="1689429231"/>
    <d v="2023-07-15T13:53:51"/>
    <m/>
    <n v="0"/>
    <s v="Regular shopper"/>
    <s v="Regular shopper"/>
  </r>
  <r>
    <n v="1125"/>
    <s v="Anne Müller"/>
    <s v="Anne Müller"/>
    <s v="Anne Müller"/>
    <n v="50"/>
    <n v="50"/>
    <x v="3"/>
    <s v="United States"/>
    <s v="12/26/2023"/>
    <s v="2023-12-26"/>
    <x v="0"/>
    <n v="1689846946"/>
    <d v="2023-07-20T09:55:46"/>
    <m/>
    <n v="0"/>
    <s v="Frequent buyer ñ"/>
    <s v="Frequent buyer n"/>
  </r>
  <r>
    <n v="1001"/>
    <s v="Carlos García"/>
    <s v="Carlos García"/>
    <s v="Carlos García"/>
    <n v="25"/>
    <n v="25"/>
    <x v="4"/>
    <s v="Spain"/>
    <s v="2023-04-15"/>
    <s v="2023-04-15"/>
    <x v="4"/>
    <n v="1688420157"/>
    <d v="2023-07-03T21:35:57"/>
    <m/>
    <n v="0"/>
    <s v="High engagement"/>
    <s v="High engagement"/>
  </r>
  <r>
    <n v="1114"/>
    <s v=" Anne Müller "/>
    <s v="Anne Müller"/>
    <s v=" Anne Müller "/>
    <n v="48"/>
    <n v="48"/>
    <x v="9"/>
    <s v="Ireland"/>
    <s v="2023-05-14T00:00:00Z"/>
    <s v="2023-05-14"/>
    <x v="9"/>
    <n v="1695385320"/>
    <d v="2023-09-22T12:22:00"/>
    <n v="664.3"/>
    <n v="664.3"/>
    <s v="High engagement"/>
    <s v="High engagement"/>
  </r>
  <r>
    <n v="1984"/>
    <s v=" Fatima Ali "/>
    <s v="Fatima Ali"/>
    <s v=" Fatima Ali "/>
    <m/>
    <n v="43"/>
    <x v="14"/>
    <s v="Italy"/>
    <s v="08-12-2023"/>
    <s v="2023-08-12"/>
    <x v="11"/>
    <n v="1685650132"/>
    <d v="2023-06-01T20:08:52"/>
    <n v="584.87"/>
    <n v="584.87"/>
    <s v="Regular shopper"/>
    <s v="Regular shopper"/>
  </r>
  <r>
    <n v="1854"/>
    <s v=" Sofia Rossi "/>
    <s v="Sofia Rossi"/>
    <s v=" Sofia Rossi "/>
    <n v="36"/>
    <n v="36"/>
    <x v="13"/>
    <s v="China"/>
    <s v="2023-01-06T00:00:00Z"/>
    <s v="2023-01-06"/>
    <x v="7"/>
    <n v="1682682992"/>
    <d v="2023-04-28T11:56:32"/>
    <m/>
    <n v="0"/>
    <s v="Great customer $$$"/>
    <s v="Great customer "/>
  </r>
  <r>
    <n v="1621"/>
    <s v=" Noah Martin "/>
    <s v="Noah Martin"/>
    <s v=" Noah Martin "/>
    <m/>
    <n v="43"/>
    <x v="8"/>
    <s v="Egypt"/>
    <s v="11/07/2023"/>
    <s v="2023-11-07"/>
    <x v="1"/>
    <n v="1691852659"/>
    <d v="2023-08-12T15:04:19"/>
    <m/>
    <n v="0"/>
    <s v="Frequent buyer ñ"/>
    <s v="Frequent buyer n"/>
  </r>
  <r>
    <n v="1658"/>
    <s v="Anne Müller"/>
    <s v="Anne Müller"/>
    <s v="Anne Müller"/>
    <n v="26"/>
    <n v="26"/>
    <x v="9"/>
    <s v="Ireland"/>
    <s v="04/13/2023"/>
    <s v="2023-04-13"/>
    <x v="4"/>
    <n v="1680996324"/>
    <d v="2023-04-08T23:25:24"/>
    <m/>
    <n v="0"/>
    <s v="VIP client $$$"/>
    <s v="VIP client "/>
  </r>
  <r>
    <n v="1145"/>
    <s v="Sofia Rossi"/>
    <s v="Sofia Rossi"/>
    <s v="Sofia Rossi"/>
    <n v="23"/>
    <n v="23"/>
    <x v="8"/>
    <s v="Egypt"/>
    <s v="08-03-2023"/>
    <s v="2023-08-03"/>
    <x v="11"/>
    <n v="1696794919"/>
    <d v="2023-10-08T19:55:19"/>
    <n v="72.19"/>
    <n v="72.19"/>
    <s v="Regular shopper"/>
    <s v="Regular shopper"/>
  </r>
  <r>
    <n v="1600"/>
    <s v=" Liam O’Connor "/>
    <s v="Liam O’Connor"/>
    <s v=" Liam O’Connor "/>
    <n v="38"/>
    <n v="38"/>
    <x v="9"/>
    <s v="Ireland"/>
    <s v="2023-09-15"/>
    <s v="2023-09-15"/>
    <x v="5"/>
    <n v="1674335856"/>
    <d v="2023-01-21T21:17:36"/>
    <m/>
    <n v="0"/>
    <s v="Holiday signup %"/>
    <s v="Holiday signup "/>
  </r>
  <r>
    <n v="1996"/>
    <s v=" Akira Tanaka "/>
    <s v="Akira Tanaka"/>
    <s v=" Akira Tanaka "/>
    <n v="26"/>
    <n v="26"/>
    <x v="11"/>
    <s v="Mexico"/>
    <s v="10/11/2023"/>
    <s v="2023-10-11"/>
    <x v="3"/>
    <n v="1676642741"/>
    <d v="2023-02-17T14:05:41"/>
    <n v="564.86"/>
    <n v="564.86"/>
    <s v="Great customer $$$"/>
    <s v="Great customer "/>
  </r>
  <r>
    <n v="1482"/>
    <s v="Renée Dupont"/>
    <s v="Renée Dupont"/>
    <s v="Renée Dupont"/>
    <n v="47"/>
    <n v="47"/>
    <x v="8"/>
    <s v="Egypt"/>
    <s v="18-01-2023"/>
    <s v="2023-01-18"/>
    <x v="7"/>
    <n v="1681851035"/>
    <d v="2023-04-18T20:50:35"/>
    <m/>
    <n v="0"/>
    <s v="Prefers email %"/>
    <s v="Prefers email "/>
  </r>
  <r>
    <n v="1123"/>
    <s v="Akira Tanaka"/>
    <s v="Akira Tanaka"/>
    <s v="Akira Tanaka"/>
    <n v="42"/>
    <n v="42"/>
    <x v="13"/>
    <s v="China"/>
    <s v="July 16 2023"/>
    <s v="2023-07-16"/>
    <x v="8"/>
    <n v="1674014338"/>
    <d v="2023-01-18T03:58:58"/>
    <m/>
    <n v="0"/>
    <s v="Frequent buyer ñ"/>
    <s v="Frequent buyer n"/>
  </r>
  <r>
    <n v="1883"/>
    <s v=" Chloe Dubois "/>
    <s v="Chloe Dubois"/>
    <s v=" Chloe Dubois "/>
    <n v="20"/>
    <n v="20"/>
    <x v="14"/>
    <s v="Italy"/>
    <s v="2023-01-14T00:00:00Z"/>
    <s v="2023-01-14"/>
    <x v="7"/>
    <n v="1697840083"/>
    <d v="2023-10-20T22:14:43"/>
    <m/>
    <n v="0"/>
    <s v="Holiday signup %"/>
    <s v="Holiday signup "/>
  </r>
  <r>
    <n v="1444"/>
    <s v=" Björn Larsson "/>
    <s v="Björn Larsson"/>
    <s v=" Björn Larsson "/>
    <m/>
    <n v="43"/>
    <x v="5"/>
    <s v="UAE"/>
    <s v="2023-01-30"/>
    <s v="2023-01-30"/>
    <x v="7"/>
    <n v="1691089471"/>
    <d v="2023-08-03T19:04:31"/>
    <m/>
    <n v="0"/>
    <s v="Corporate account"/>
    <s v="Corporate account"/>
  </r>
  <r>
    <n v="1950"/>
    <s v="Sofia Rossi"/>
    <s v="Sofia Rossi"/>
    <s v="Sofia Rossi"/>
    <m/>
    <n v="43"/>
    <x v="6"/>
    <s v="France"/>
    <s v="July 15 2023"/>
    <s v="2023-07-15"/>
    <x v="8"/>
    <n v="1697543320"/>
    <d v="2023-10-17T11:48:40"/>
    <n v="1488.99"/>
    <n v="1488.99"/>
    <s v="Frequent buyer ñ"/>
    <s v="Frequent buyer n"/>
  </r>
  <r>
    <n v="1032"/>
    <s v="Akira Tanaka"/>
    <s v="Akira Tanaka"/>
    <s v="Akira Tanaka"/>
    <n v="35"/>
    <n v="35"/>
    <x v="9"/>
    <s v="Ireland"/>
    <s v="01-06-2023"/>
    <s v="2023-01-06"/>
    <x v="7"/>
    <n v="1691686353"/>
    <d v="2023-08-10T16:52:33"/>
    <m/>
    <n v="0"/>
    <s v="Newsletter subscriber %"/>
    <s v="Newsletter subscriber "/>
  </r>
  <r>
    <n v="1551"/>
    <s v=" Zoë Kravitz "/>
    <s v="Zoë Kravitz"/>
    <s v=" Zoë Kravitz "/>
    <n v="59"/>
    <n v="59"/>
    <x v="0"/>
    <s v="United Kingdom"/>
    <s v="2023-06-07T00:00:00Z"/>
    <s v="2023-06-07"/>
    <x v="10"/>
    <n v="1694695979"/>
    <d v="2023-09-14T12:52:59"/>
    <m/>
    <n v="0"/>
    <s v="Frequent buyer ñ"/>
    <s v="Frequent buyer n"/>
  </r>
  <r>
    <n v="1102"/>
    <s v=" Emily Davis "/>
    <s v="Emily Davis"/>
    <s v=" Emily Davis "/>
    <n v="29"/>
    <n v="29"/>
    <x v="10"/>
    <s v="Sweden"/>
    <s v="2023-08-14T00:00:00Z"/>
    <s v="2023-08-14"/>
    <x v="11"/>
    <n v="1683171976"/>
    <d v="2023-05-04T03:46:16"/>
    <n v="72.510000000000005"/>
    <n v="72.510000000000005"/>
    <s v="Great customer $$$"/>
    <s v="Great customer "/>
  </r>
  <r>
    <n v="1531"/>
    <s v=" Akira Tanaka "/>
    <s v="Akira Tanaka"/>
    <s v=" Akira Tanaka "/>
    <n v="52"/>
    <n v="52"/>
    <x v="3"/>
    <s v="United States"/>
    <s v="11/04/2023"/>
    <s v="2023-11-04"/>
    <x v="1"/>
    <n v="1684258979"/>
    <d v="2023-05-16T17:42:59"/>
    <m/>
    <n v="0"/>
    <s v="Prefers email %"/>
    <s v="Prefers email "/>
  </r>
  <r>
    <n v="1053"/>
    <s v="Anne Müller"/>
    <s v="Anne Müller"/>
    <s v="Anne Müller"/>
    <n v="50"/>
    <n v="50"/>
    <x v="10"/>
    <s v="Sweden"/>
    <s v="25-10-2023"/>
    <s v="2023-10-25"/>
    <x v="3"/>
    <n v="1679733797"/>
    <d v="2023-03-25T08:43:17"/>
    <n v="574.47"/>
    <n v="574.47"/>
    <s v="Frequent buyer ñ"/>
    <s v="Frequent buyer n"/>
  </r>
  <r>
    <n v="1781"/>
    <s v="Björn Larsson"/>
    <s v="Björn Larsson"/>
    <s v="Björn Larsson"/>
    <n v="23"/>
    <n v="23"/>
    <x v="10"/>
    <s v="Sweden"/>
    <s v="2023-10-22T00:00:00Z"/>
    <s v="2023-10-22"/>
    <x v="3"/>
    <n v="1697151317"/>
    <d v="2023-10-12T22:55:17"/>
    <n v="632.94000000000005"/>
    <n v="632.94000000000005"/>
    <s v="Corporate account"/>
    <s v="Corporate account"/>
  </r>
  <r>
    <n v="1164"/>
    <s v="Olivia Wilson"/>
    <s v="Olivia Wilson"/>
    <s v="Olivia Wilson"/>
    <n v="41"/>
    <n v="41"/>
    <x v="8"/>
    <s v="Egypt"/>
    <s v="11/06/2023"/>
    <s v="2023-11-06"/>
    <x v="1"/>
    <n v="1687588866"/>
    <d v="2023-06-24T06:41:06"/>
    <n v="1181.5899999999999"/>
    <n v="1181.5899999999999"/>
    <s v="Holiday signup %"/>
    <s v="Holiday signup "/>
  </r>
  <r>
    <n v="1257"/>
    <s v=" Chloe Dubois "/>
    <s v="Chloe Dubois"/>
    <s v=" Chloe Dubois "/>
    <n v="61"/>
    <n v="61"/>
    <x v="0"/>
    <s v="United Kingdom"/>
    <s v="07-11-2023"/>
    <s v="2023-07-11"/>
    <x v="8"/>
    <n v="1699228494"/>
    <d v="2023-11-05T23:54:54"/>
    <m/>
    <n v="0"/>
    <s v="Prefers email %"/>
    <s v="Prefers email "/>
  </r>
  <r>
    <n v="1167"/>
    <s v="Sofia Rossi"/>
    <s v="Sofia Rossi"/>
    <s v="Sofia Rossi"/>
    <m/>
    <n v="43"/>
    <x v="1"/>
    <s v="Germany"/>
    <s v="April 03 2023"/>
    <s v="2023-04-03"/>
    <x v="4"/>
    <n v="1673044504"/>
    <d v="2023-01-06T22:35:04"/>
    <m/>
    <n v="0"/>
    <s v="Student account"/>
    <s v="Student account"/>
  </r>
  <r>
    <n v="1082"/>
    <s v="Chloe Dubois"/>
    <s v="Chloe Dubois"/>
    <s v="Chloe Dubois"/>
    <m/>
    <n v="43"/>
    <x v="3"/>
    <s v="United States"/>
    <s v="07/09/2023"/>
    <s v="2023-07-09"/>
    <x v="8"/>
    <n v="1681980897"/>
    <d v="2023-04-20T08:54:57"/>
    <m/>
    <n v="0"/>
    <s v="Regular shopper"/>
    <s v="Regular shopper"/>
  </r>
  <r>
    <n v="2067"/>
    <s v="Carlos García"/>
    <s v="Carlos García"/>
    <s v="Carlos García"/>
    <n v="25"/>
    <n v="25"/>
    <x v="0"/>
    <s v="United Kingdom"/>
    <s v="August 16 2023"/>
    <s v="2023-08-16"/>
    <x v="11"/>
    <n v="1689074909"/>
    <d v="2023-07-11T11:28:29"/>
    <n v="401.95"/>
    <n v="401.95"/>
    <s v="Student account"/>
    <s v="Student account"/>
  </r>
  <r>
    <n v="1270"/>
    <s v="David Brown"/>
    <s v="David Brown"/>
    <s v="David Brown"/>
    <n v="51"/>
    <n v="51"/>
    <x v="1"/>
    <s v="Germany"/>
    <s v="January 02 2023"/>
    <s v="2023-01-02"/>
    <x v="7"/>
    <n v="1674780913"/>
    <d v="2023-01-27T00:55:13"/>
    <n v="741.13"/>
    <n v="741.13"/>
    <s v="Frequent buyer ñ"/>
    <s v="Frequent buyer n"/>
  </r>
  <r>
    <n v="1080"/>
    <s v="Sofia Rossi"/>
    <s v="Sofia Rossi"/>
    <s v="Sofia Rossi"/>
    <n v="42"/>
    <n v="42"/>
    <x v="4"/>
    <s v="Spain"/>
    <s v="23-11-2023"/>
    <s v="2023-11-23"/>
    <x v="1"/>
    <n v="1688772165"/>
    <d v="2023-07-07T23:22:45"/>
    <n v="800.39"/>
    <n v="800.39"/>
    <s v="Student account"/>
    <s v="Student account"/>
  </r>
  <r>
    <n v="1991"/>
    <s v="Isabella Martinez"/>
    <s v="Isabella Martinez"/>
    <s v="Isabella Martinez"/>
    <n v="61"/>
    <n v="61"/>
    <x v="11"/>
    <s v="Mexico"/>
    <s v="2023-05-18T00:00:00Z"/>
    <s v="2023-05-18"/>
    <x v="9"/>
    <n v="1679741765"/>
    <d v="2023-03-25T10:56:05"/>
    <m/>
    <n v="0"/>
    <s v="Great customer $$$"/>
    <s v="Great customer "/>
  </r>
  <r>
    <n v="1995"/>
    <s v=" André Santos "/>
    <s v="André Santos"/>
    <s v=" André Santos "/>
    <m/>
    <n v="43"/>
    <x v="12"/>
    <s v="South Korea"/>
    <s v="07/29/2023"/>
    <s v="2023-07-29"/>
    <x v="8"/>
    <n v="1691734103"/>
    <d v="2023-08-11T06:08:23"/>
    <n v="1314.68"/>
    <n v="1314.68"/>
    <s v="Prefers email %"/>
    <s v="Prefers email "/>
  </r>
  <r>
    <n v="1676"/>
    <s v="Carlos García"/>
    <s v="Carlos García"/>
    <s v="Carlos García"/>
    <n v="19"/>
    <n v="19"/>
    <x v="13"/>
    <s v="China"/>
    <s v="16-02-2023"/>
    <s v="2023-02-16"/>
    <x v="2"/>
    <n v="1703133311"/>
    <d v="2023-12-21T04:35:11"/>
    <n v="535.52"/>
    <n v="535.52"/>
    <s v="Great customer $$$"/>
    <s v="Great customer "/>
  </r>
  <r>
    <n v="1322"/>
    <s v="Fatima Ali"/>
    <s v="Fatima Ali"/>
    <s v="Fatima Ali"/>
    <n v="58"/>
    <n v="58"/>
    <x v="4"/>
    <s v="Spain"/>
    <s v="18-01-2023"/>
    <s v="2023-01-18"/>
    <x v="7"/>
    <n v="1697686985"/>
    <d v="2023-10-19T03:43:05"/>
    <m/>
    <n v="0"/>
    <s v="High engagement"/>
    <s v="High engagement"/>
  </r>
  <r>
    <n v="1802"/>
    <s v="David Brown"/>
    <s v="David Brown"/>
    <s v="David Brown"/>
    <m/>
    <n v="43"/>
    <x v="10"/>
    <s v="Sweden"/>
    <s v="12-01-2023"/>
    <s v="2023-12-01"/>
    <x v="0"/>
    <n v="1681719583"/>
    <d v="2023-04-17T08:19:43"/>
    <n v="693.77"/>
    <n v="693.77"/>
    <s v="Student account"/>
    <s v="Student account"/>
  </r>
  <r>
    <n v="1036"/>
    <s v="Isabella Martinez"/>
    <s v="Isabella Martinez"/>
    <s v="Isabella Martinez"/>
    <n v="52"/>
    <n v="52"/>
    <x v="0"/>
    <s v="United Kingdom"/>
    <s v="08/20/2023"/>
    <s v="2023-08-20"/>
    <x v="11"/>
    <n v="1691914417"/>
    <d v="2023-08-13T08:13:37"/>
    <m/>
    <n v="0"/>
    <s v="VIP client $$$"/>
    <s v="VIP client "/>
  </r>
  <r>
    <n v="1916"/>
    <s v="Olivia Wilson"/>
    <s v="Olivia Wilson"/>
    <s v="Olivia Wilson"/>
    <m/>
    <n v="43"/>
    <x v="2"/>
    <s v="Japan"/>
    <s v="2023-03-15"/>
    <s v="2023-03-15"/>
    <x v="6"/>
    <n v="1675724724"/>
    <d v="2023-02-06T23:05:24"/>
    <n v="845.72"/>
    <n v="845.72"/>
    <s v="Regular shopper"/>
    <s v="Regular shopper"/>
  </r>
  <r>
    <n v="1075"/>
    <s v="Lucas Silva"/>
    <s v="Lucas Silva"/>
    <s v="Lucas Silva"/>
    <n v="56"/>
    <n v="56"/>
    <x v="7"/>
    <s v="Brazil"/>
    <s v="12/20/2023"/>
    <s v="2023-12-20"/>
    <x v="0"/>
    <n v="1697858868"/>
    <d v="2023-10-21T03:27:48"/>
    <m/>
    <n v="0"/>
    <s v="Corporate account"/>
    <s v="Corporate account"/>
  </r>
  <r>
    <n v="2024"/>
    <s v="Lucas Silva"/>
    <s v="Lucas Silva"/>
    <s v="Lucas Silva"/>
    <m/>
    <n v="43"/>
    <x v="8"/>
    <s v="Egypt"/>
    <s v="2023-09-21T00:00:00Z"/>
    <s v="2023-09-21"/>
    <x v="5"/>
    <n v="1701335610"/>
    <d v="2023-11-30T09:13:30"/>
    <n v="1112.1300000000001"/>
    <n v="1112.1300000000001"/>
    <s v="Prefers email %"/>
    <s v="Prefers email "/>
  </r>
  <r>
    <n v="1872"/>
    <s v=" Renée Dupont "/>
    <s v="Renée Dupont"/>
    <s v=" Renée Dupont "/>
    <n v="26"/>
    <n v="26"/>
    <x v="10"/>
    <s v="Sweden"/>
    <s v="03/04/2023"/>
    <s v="2023-03-04"/>
    <x v="6"/>
    <n v="1679146558"/>
    <d v="2023-03-18T13:35:58"/>
    <n v="662.03"/>
    <n v="662.03"/>
    <s v="Great customer $$$"/>
    <s v="Great customer "/>
  </r>
  <r>
    <n v="1515"/>
    <s v="Isabella Martinez"/>
    <s v="Isabella Martinez"/>
    <s v="Isabella Martinez"/>
    <n v="65"/>
    <n v="65"/>
    <x v="0"/>
    <s v="United Kingdom"/>
    <s v="2023-03-26T00:00:00Z"/>
    <s v="2023-03-26"/>
    <x v="6"/>
    <n v="1696518151"/>
    <d v="2023-10-05T15:02:31"/>
    <n v="1245.82"/>
    <n v="1245.82"/>
    <s v="Newsletter subscriber %"/>
    <s v="Newsletter subscriber "/>
  </r>
  <r>
    <n v="1853"/>
    <s v=" Sarah Johnson "/>
    <s v="Sarah Johnson"/>
    <s v=" Sarah Johnson "/>
    <m/>
    <n v="43"/>
    <x v="1"/>
    <s v="Germany"/>
    <s v="2023-04-13"/>
    <s v="2023-04-13"/>
    <x v="4"/>
    <n v="1690567274"/>
    <d v="2023-07-28T18:01:14"/>
    <n v="693.3"/>
    <n v="693.3"/>
    <s v="Great customer $$$"/>
    <s v="Great customer "/>
  </r>
  <r>
    <n v="1960"/>
    <s v=" Mia Thompson "/>
    <s v="Mia Thompson"/>
    <s v=" Mia Thompson "/>
    <n v="58"/>
    <n v="58"/>
    <x v="4"/>
    <s v="Spain"/>
    <s v="2023-06-26"/>
    <s v="2023-06-26"/>
    <x v="10"/>
    <n v="1703658469"/>
    <d v="2023-12-27T06:27:49"/>
    <m/>
    <n v="0"/>
    <s v="High engagement"/>
    <s v="High engagement"/>
  </r>
  <r>
    <n v="1107"/>
    <s v="Carlos García"/>
    <s v="Carlos García"/>
    <s v="Carlos García"/>
    <n v="45"/>
    <n v="45"/>
    <x v="8"/>
    <s v="Egypt"/>
    <s v="17-06-2023"/>
    <s v="2023-06-17"/>
    <x v="10"/>
    <n v="1689313802"/>
    <d v="2023-07-14T05:50:02"/>
    <n v="1142.4100000000001"/>
    <n v="1142.4100000000001"/>
    <s v="Corporate account"/>
    <s v="Corporate account"/>
  </r>
  <r>
    <n v="1569"/>
    <s v=" Renée Dupont "/>
    <s v="Renée Dupont"/>
    <s v=" Renée Dupont "/>
    <m/>
    <n v="43"/>
    <x v="8"/>
    <s v="Egypt"/>
    <s v="22-12-2023"/>
    <s v="2023-12-22"/>
    <x v="0"/>
    <n v="1695521120"/>
    <d v="2023-09-24T02:05:20"/>
    <m/>
    <n v="0"/>
    <s v="Newsletter subscriber %"/>
    <s v="Newsletter subscriber "/>
  </r>
  <r>
    <n v="1365"/>
    <s v="John Smith"/>
    <s v="John Smith"/>
    <s v="John Smith"/>
    <m/>
    <n v="43"/>
    <x v="5"/>
    <s v="UAE"/>
    <s v="2023-04-20T00:00:00Z"/>
    <s v="2023-04-20"/>
    <x v="4"/>
    <n v="1691307570"/>
    <d v="2023-08-06T07:39:30"/>
    <n v="1315.68"/>
    <n v="1315.68"/>
    <s v="High engagement"/>
    <s v="High engagement"/>
  </r>
  <r>
    <n v="1767"/>
    <s v="Sarah Johnson"/>
    <s v="Sarah Johnson"/>
    <s v="Sarah Johnson"/>
    <m/>
    <n v="43"/>
    <x v="14"/>
    <s v="Italy"/>
    <s v="09/27/2023"/>
    <s v="2023-09-27"/>
    <x v="5"/>
    <n v="1672712392"/>
    <d v="2023-01-03T02:19:52"/>
    <m/>
    <n v="0"/>
    <s v="Prefers email %"/>
    <s v="Prefers email "/>
  </r>
  <r>
    <n v="1751"/>
    <s v=" Ahmed Hassan "/>
    <s v="Ahmed Hassan"/>
    <s v=" Ahmed Hassan "/>
    <m/>
    <n v="43"/>
    <x v="3"/>
    <s v="United States"/>
    <s v="02/03/2023"/>
    <s v="2023-02-03"/>
    <x v="2"/>
    <n v="1700208001"/>
    <d v="2023-11-17T08:00:01"/>
    <n v="1144.33"/>
    <n v="1144.33"/>
    <s v="Student account"/>
    <s v="Student account"/>
  </r>
  <r>
    <n v="1561"/>
    <s v="Chloe Dubois"/>
    <s v="Chloe Dubois"/>
    <s v="Chloe Dubois"/>
    <n v="47"/>
    <n v="47"/>
    <x v="3"/>
    <s v="United States"/>
    <s v="October 17 2023"/>
    <s v="2023-10-17"/>
    <x v="3"/>
    <n v="1675482224"/>
    <d v="2023-02-04T03:43:44"/>
    <n v="183.23"/>
    <n v="183.23"/>
    <s v="Frequent buyer ñ"/>
    <s v="Frequent buyer n"/>
  </r>
  <r>
    <n v="1177"/>
    <s v="Sarah Johnson"/>
    <s v="Sarah Johnson"/>
    <s v="Sarah Johnson"/>
    <n v="58"/>
    <n v="58"/>
    <x v="3"/>
    <s v="United States"/>
    <s v="22-04-2023"/>
    <s v="2023-04-22"/>
    <x v="4"/>
    <n v="1687970752"/>
    <d v="2023-06-28T16:45:52"/>
    <n v="131.1"/>
    <n v="131.1"/>
    <s v="Student account"/>
    <s v="Student account"/>
  </r>
  <r>
    <n v="1392"/>
    <s v="André Santos"/>
    <s v="André Santos"/>
    <s v="André Santos"/>
    <n v="26"/>
    <n v="26"/>
    <x v="13"/>
    <s v="China"/>
    <s v="28-12-2023"/>
    <s v="2023-12-28"/>
    <x v="0"/>
    <n v="1678496824"/>
    <d v="2023-03-11T01:07:04"/>
    <m/>
    <n v="0"/>
    <s v="High engagement"/>
    <s v="High engagement"/>
  </r>
  <r>
    <n v="1447"/>
    <s v=" Ethan Clark "/>
    <s v="Ethan Clark"/>
    <s v=" Ethan Clark "/>
    <n v="51"/>
    <n v="51"/>
    <x v="6"/>
    <s v="France"/>
    <s v="09/01/2023"/>
    <s v="2023-09-01"/>
    <x v="5"/>
    <n v="1688202203"/>
    <d v="2023-07-01T09:03:23"/>
    <m/>
    <n v="0"/>
    <s v="Holiday signup %"/>
    <s v="Holiday signup "/>
  </r>
  <r>
    <n v="1935"/>
    <s v="Daniel Kim"/>
    <s v="Daniel Kim"/>
    <s v="Daniel Kim"/>
    <m/>
    <n v="43"/>
    <x v="8"/>
    <s v="Egypt"/>
    <s v="05-05-2023"/>
    <s v="2023-05-05"/>
    <x v="9"/>
    <n v="1696796351"/>
    <d v="2023-10-08T20:19:11"/>
    <m/>
    <n v="0"/>
    <s v="Regular shopper"/>
    <s v="Regular shopper"/>
  </r>
  <r>
    <n v="1822"/>
    <s v=" Fatima Ali "/>
    <s v="Fatima Ali"/>
    <s v=" Fatima Ali "/>
    <n v="32"/>
    <n v="32"/>
    <x v="5"/>
    <s v="UAE"/>
    <s v="07-08-2023"/>
    <s v="2023-07-08"/>
    <x v="8"/>
    <n v="1691901281"/>
    <d v="2023-08-13T04:34:41"/>
    <n v="607.12"/>
    <n v="607.12"/>
    <s v="Frequent buyer ñ"/>
    <s v="Frequent buyer n"/>
  </r>
  <r>
    <n v="2049"/>
    <s v="Sarah Johnson"/>
    <s v="Sarah Johnson"/>
    <s v="Sarah Johnson"/>
    <n v="62"/>
    <n v="62"/>
    <x v="1"/>
    <s v="Germany"/>
    <s v="10/18/2023"/>
    <s v="2023-10-18"/>
    <x v="3"/>
    <n v="1676882412"/>
    <d v="2023-02-20T08:40:12"/>
    <n v="998.48"/>
    <n v="998.48"/>
    <s v="Prefers email %"/>
    <s v="Prefers email "/>
  </r>
  <r>
    <n v="1634"/>
    <s v=" Björn Larsson "/>
    <s v="Björn Larsson"/>
    <s v=" Björn Larsson "/>
    <m/>
    <n v="43"/>
    <x v="6"/>
    <s v="France"/>
    <s v="2023-08-24"/>
    <s v="2023-08-24"/>
    <x v="11"/>
    <n v="1694623237"/>
    <d v="2023-09-13T16:40:37"/>
    <n v="229.76"/>
    <n v="229.76"/>
    <s v="Student account"/>
    <s v="Student account"/>
  </r>
  <r>
    <n v="1170"/>
    <s v="Olivia Wilson"/>
    <s v="Olivia Wilson"/>
    <s v="Olivia Wilson"/>
    <m/>
    <n v="43"/>
    <x v="3"/>
    <s v="United States"/>
    <s v="24-03-2023"/>
    <s v="2023-03-24"/>
    <x v="6"/>
    <n v="1676843781"/>
    <d v="2023-02-19T21:56:21"/>
    <m/>
    <n v="0"/>
    <s v="Regular shopper"/>
    <s v="Regular shopper"/>
  </r>
  <r>
    <n v="1024"/>
    <s v="Isabella Martinez"/>
    <s v="Isabella Martinez"/>
    <s v="Isabella Martinez"/>
    <m/>
    <n v="43"/>
    <x v="3"/>
    <s v="United States"/>
    <s v="June 05 2023"/>
    <s v="2023-06-05"/>
    <x v="10"/>
    <n v="1681202821"/>
    <d v="2023-04-11T08:47:01"/>
    <n v="1115.68"/>
    <n v="1115.68"/>
    <s v="Holiday signup %"/>
    <s v="Holiday signup "/>
  </r>
  <r>
    <n v="1923"/>
    <s v="Ahmed Hassan"/>
    <s v="Ahmed Hassan"/>
    <s v="Ahmed Hassan"/>
    <m/>
    <n v="43"/>
    <x v="9"/>
    <s v="Ireland"/>
    <s v="2023-07-06"/>
    <s v="2023-07-06"/>
    <x v="8"/>
    <n v="1698880829"/>
    <d v="2023-11-01T23:20:29"/>
    <m/>
    <n v="0"/>
    <s v="Corporate account"/>
    <s v="Corporate account"/>
  </r>
  <r>
    <n v="1786"/>
    <s v=" Zoë Kravitz "/>
    <s v="Zoë Kravitz"/>
    <s v=" Zoë Kravitz "/>
    <n v="39"/>
    <n v="39"/>
    <x v="7"/>
    <s v="Brazil"/>
    <s v="2023-04-12T00:00:00Z"/>
    <s v="2023-04-12"/>
    <x v="4"/>
    <n v="1699798220"/>
    <d v="2023-11-12T14:10:20"/>
    <m/>
    <n v="0"/>
    <s v="High engagement"/>
    <s v="High engagement"/>
  </r>
  <r>
    <n v="1607"/>
    <s v="Björn Larsson"/>
    <s v="Björn Larsson"/>
    <s v="Björn Larsson"/>
    <n v="52"/>
    <n v="52"/>
    <x v="11"/>
    <s v="Mexico"/>
    <s v="July 02 2023"/>
    <s v="2023-07-02"/>
    <x v="8"/>
    <n v="1673111839"/>
    <d v="2023-01-07T17:17:19"/>
    <m/>
    <n v="0"/>
    <s v="Great customer $$$"/>
    <s v="Great customer "/>
  </r>
  <r>
    <n v="1079"/>
    <s v="Carlos García"/>
    <s v="Carlos García"/>
    <s v="Carlos García"/>
    <n v="64"/>
    <n v="64"/>
    <x v="13"/>
    <s v="China"/>
    <s v="2023-09-20"/>
    <s v="2023-09-20"/>
    <x v="5"/>
    <n v="1683857772"/>
    <d v="2023-05-12T02:16:12"/>
    <m/>
    <n v="0"/>
    <s v="High engagement"/>
    <s v="High engagement"/>
  </r>
  <r>
    <n v="1821"/>
    <s v=" John Smith "/>
    <s v="John Smith"/>
    <s v=" John Smith "/>
    <n v="34"/>
    <n v="34"/>
    <x v="3"/>
    <s v="United States"/>
    <s v="2023-08-10"/>
    <s v="2023-08-10"/>
    <x v="11"/>
    <n v="1699154300"/>
    <d v="2023-11-05T03:18:20"/>
    <m/>
    <n v="0"/>
    <s v="Student account"/>
    <s v="Student account"/>
  </r>
  <r>
    <n v="2053"/>
    <s v="Chloe Dubois"/>
    <s v="Chloe Dubois"/>
    <s v="Chloe Dubois"/>
    <n v="33"/>
    <n v="33"/>
    <x v="14"/>
    <s v="Italy"/>
    <s v="October 21 2023"/>
    <s v="2023-10-21"/>
    <x v="3"/>
    <n v="1679745224"/>
    <d v="2023-03-25T11:53:44"/>
    <m/>
    <n v="0"/>
    <s v="Student account"/>
    <s v="Student account"/>
  </r>
  <r>
    <n v="1826"/>
    <s v="Maria Lopez"/>
    <s v="Maria Lopez"/>
    <s v="Maria Lopez"/>
    <n v="23"/>
    <n v="23"/>
    <x v="8"/>
    <s v="Egypt"/>
    <s v="15-10-2023"/>
    <s v="2023-10-15"/>
    <x v="3"/>
    <n v="1675312104"/>
    <d v="2023-02-02T04:28:24"/>
    <m/>
    <n v="0"/>
    <s v="Student account"/>
    <s v="Student account"/>
  </r>
  <r>
    <n v="1598"/>
    <s v="Björn Larsson"/>
    <s v="Björn Larsson"/>
    <s v="Björn Larsson"/>
    <n v="61"/>
    <n v="61"/>
    <x v="0"/>
    <s v="United Kingdom"/>
    <s v="2023-11-16T00:00:00Z"/>
    <s v="2023-11-16"/>
    <x v="1"/>
    <n v="1678118674"/>
    <d v="2023-03-06T16:04:34"/>
    <m/>
    <n v="0"/>
    <s v="High engagement"/>
    <s v="High engagement"/>
  </r>
  <r>
    <n v="1572"/>
    <s v="Lucas Silva"/>
    <s v="Lucas Silva"/>
    <s v="Lucas Silva"/>
    <n v="24"/>
    <n v="24"/>
    <x v="2"/>
    <s v="Japan"/>
    <s v="2023-09-15T00:00:00Z"/>
    <s v="2023-09-15"/>
    <x v="5"/>
    <n v="1690392016"/>
    <d v="2023-07-26T17:20:16"/>
    <m/>
    <n v="0"/>
    <s v="Regular shopper"/>
    <s v="Regular shopper"/>
  </r>
  <r>
    <n v="2169"/>
    <s v="André Santos"/>
    <s v="André Santos"/>
    <s v="André Santos"/>
    <n v="38"/>
    <n v="38"/>
    <x v="4"/>
    <s v="Spain"/>
    <s v="2023-03-27T00:00:00Z"/>
    <s v="2023-03-27"/>
    <x v="6"/>
    <n v="1693512133"/>
    <d v="2023-08-31T20:02:13"/>
    <n v="713.15"/>
    <n v="713.15"/>
    <s v="Newsletter subscriber %"/>
    <s v="Newsletter subscriber "/>
  </r>
  <r>
    <n v="1047"/>
    <s v="André Santos"/>
    <s v="André Santos"/>
    <s v="André Santos"/>
    <n v="42"/>
    <n v="42"/>
    <x v="10"/>
    <s v="Sweden"/>
    <s v="04/09/2023"/>
    <s v="2023-04-09"/>
    <x v="4"/>
    <n v="1687884175"/>
    <d v="2023-06-27T16:42:55"/>
    <n v="559.91"/>
    <n v="559.91"/>
    <s v="Frequent buyer ñ"/>
    <s v="Frequent buyer n"/>
  </r>
  <r>
    <n v="1947"/>
    <s v="André Santos"/>
    <s v="André Santos"/>
    <s v="André Santos"/>
    <n v="18"/>
    <n v="18"/>
    <x v="5"/>
    <s v="UAE"/>
    <s v="September 24 2023"/>
    <s v="2023-09-24"/>
    <x v="5"/>
    <n v="1701453590"/>
    <d v="2023-12-01T17:59:50"/>
    <m/>
    <n v="0"/>
    <s v="Student account"/>
    <s v="Student account"/>
  </r>
  <r>
    <n v="1599"/>
    <s v=" Noah Martin "/>
    <s v="Noah Martin"/>
    <s v=" Noah Martin "/>
    <n v="32"/>
    <n v="32"/>
    <x v="11"/>
    <s v="Mexico"/>
    <s v="2023-03-17T00:00:00Z"/>
    <s v="2023-03-17"/>
    <x v="6"/>
    <n v="1672928891"/>
    <d v="2023-01-05T14:28:11"/>
    <m/>
    <n v="0"/>
    <s v="Regular shopper"/>
    <s v="Regular shopper"/>
  </r>
  <r>
    <n v="1390"/>
    <s v="André Santos"/>
    <s v="André Santos"/>
    <s v="André Santos"/>
    <n v="26"/>
    <n v="26"/>
    <x v="11"/>
    <s v="Mexico"/>
    <s v="02/01/2023"/>
    <s v="2023-02-01"/>
    <x v="2"/>
    <n v="1680160527"/>
    <d v="2023-03-30T07:15:27"/>
    <m/>
    <n v="0"/>
    <s v="Regular shopper"/>
    <s v="Regular shopper"/>
  </r>
  <r>
    <n v="1967"/>
    <s v="Anne Müller"/>
    <s v="Anne Müller"/>
    <s v="Anne Müller"/>
    <n v="31"/>
    <n v="31"/>
    <x v="0"/>
    <s v="United Kingdom"/>
    <s v="06/15/2023"/>
    <s v="2023-06-15"/>
    <x v="10"/>
    <n v="1678963231"/>
    <d v="2023-03-16T10:40:31"/>
    <n v="1151.93"/>
    <n v="1151.93"/>
    <s v="Frequent buyer ñ"/>
    <s v="Frequent buyer n"/>
  </r>
  <r>
    <n v="1828"/>
    <s v="Maria Lopez"/>
    <s v="Maria Lopez"/>
    <s v="Maria Lopez"/>
    <n v="40"/>
    <n v="40"/>
    <x v="12"/>
    <s v="South Korea"/>
    <s v="2023-05-21"/>
    <s v="2023-05-21"/>
    <x v="9"/>
    <n v="1699989412"/>
    <d v="2023-11-14T19:16:52"/>
    <n v="1059.46"/>
    <n v="1059.46"/>
    <s v="Student account"/>
    <s v="Student account"/>
  </r>
  <r>
    <n v="1219"/>
    <s v=" Li Wei "/>
    <s v="Li Wei"/>
    <s v=" Li Wei "/>
    <m/>
    <n v="43"/>
    <x v="8"/>
    <s v="Egypt"/>
    <s v="January 24 2023"/>
    <s v="2023-01-24"/>
    <x v="7"/>
    <n v="1695602770"/>
    <d v="2023-09-25T00:46:10"/>
    <m/>
    <n v="0"/>
    <s v="VIP client $$$"/>
    <s v="VIP client "/>
  </r>
  <r>
    <n v="1181"/>
    <s v=" Ethan Clark "/>
    <s v="Ethan Clark"/>
    <s v=" Ethan Clark "/>
    <n v="52"/>
    <n v="52"/>
    <x v="7"/>
    <s v="Brazil"/>
    <s v="2023-10-13T00:00:00Z"/>
    <s v="2023-10-13"/>
    <x v="3"/>
    <n v="1699948372"/>
    <d v="2023-11-14T07:52:52"/>
    <n v="444.21"/>
    <n v="444.21"/>
    <s v="Frequent buyer ñ"/>
    <s v="Frequent buyer n"/>
  </r>
  <r>
    <n v="1099"/>
    <s v=" Ahmed Hassan "/>
    <s v="Ahmed Hassan"/>
    <s v=" Ahmed Hassan "/>
    <n v="50"/>
    <n v="50"/>
    <x v="5"/>
    <s v="UAE"/>
    <s v="2023-01-17T00:00:00Z"/>
    <s v="2023-01-17"/>
    <x v="7"/>
    <n v="1701819733"/>
    <d v="2023-12-05T23:42:13"/>
    <m/>
    <n v="0"/>
    <s v="Student account"/>
    <s v="Student account"/>
  </r>
  <r>
    <n v="1313"/>
    <s v="David Brown"/>
    <s v="David Brown"/>
    <s v="David Brown"/>
    <n v="31"/>
    <n v="31"/>
    <x v="0"/>
    <s v="United Kingdom"/>
    <s v="2023-01-14T00:00:00Z"/>
    <s v="2023-01-14"/>
    <x v="7"/>
    <n v="1692721132"/>
    <d v="2023-08-22T16:18:52"/>
    <n v="1417.3"/>
    <n v="1417.3"/>
    <s v="Frequent buyer ñ"/>
    <s v="Frequent buyer n"/>
  </r>
  <r>
    <n v="2107"/>
    <s v="Olivia Wilson"/>
    <s v="Olivia Wilson"/>
    <s v="Olivia Wilson"/>
    <n v="38"/>
    <n v="38"/>
    <x v="1"/>
    <s v="Germany"/>
    <s v="14-04-2023"/>
    <s v="2023-04-14"/>
    <x v="4"/>
    <n v="1678003066"/>
    <d v="2023-03-05T07:57:46"/>
    <m/>
    <n v="0"/>
    <s v="VIP client $$$"/>
    <s v="VIP client "/>
  </r>
  <r>
    <n v="1101"/>
    <s v="Ethan Clark"/>
    <s v="Ethan Clark"/>
    <s v="Ethan Clark"/>
    <m/>
    <n v="43"/>
    <x v="0"/>
    <s v="United Kingdom"/>
    <s v="02/17/2023"/>
    <s v="2023-02-17"/>
    <x v="2"/>
    <n v="1689526142"/>
    <d v="2023-07-16T16:49:02"/>
    <n v="1370.79"/>
    <n v="1370.79"/>
    <s v="Frequent buyer ñ"/>
    <s v="Frequent buyer n"/>
  </r>
  <r>
    <n v="1523"/>
    <s v=" Ahmed Hassan "/>
    <s v="Ahmed Hassan"/>
    <s v=" Ahmed Hassan "/>
    <n v="47"/>
    <n v="47"/>
    <x v="13"/>
    <s v="China"/>
    <s v="August 04 2023"/>
    <s v="2023-08-04"/>
    <x v="11"/>
    <n v="1701296693"/>
    <d v="2023-11-29T22:24:53"/>
    <m/>
    <n v="0"/>
    <s v="Student account"/>
    <s v="Student account"/>
  </r>
  <r>
    <n v="2170"/>
    <s v=" David Brown "/>
    <s v="David Brown"/>
    <s v=" David Brown "/>
    <n v="50"/>
    <n v="50"/>
    <x v="4"/>
    <s v="Spain"/>
    <s v="2023-12-04"/>
    <s v="2023-12-04"/>
    <x v="0"/>
    <n v="1697461158"/>
    <d v="2023-10-16T12:59:18"/>
    <m/>
    <n v="0"/>
    <s v="Student account"/>
    <s v="Student account"/>
  </r>
  <r>
    <n v="1382"/>
    <s v="Akira Tanaka"/>
    <s v="Akira Tanaka"/>
    <s v="Akira Tanaka"/>
    <m/>
    <n v="43"/>
    <x v="0"/>
    <s v="United Kingdom"/>
    <s v="09-12-2023"/>
    <s v="2023-09-12"/>
    <x v="5"/>
    <n v="1698135068"/>
    <d v="2023-10-24T08:11:08"/>
    <n v="783.42"/>
    <n v="783.42"/>
    <s v="Newsletter subscriber %"/>
    <s v="Newsletter subscriber "/>
  </r>
  <r>
    <n v="1874"/>
    <s v=" Liam O’Connor "/>
    <s v="Liam O’Connor"/>
    <s v=" Liam O’Connor "/>
    <n v="52"/>
    <n v="52"/>
    <x v="4"/>
    <s v="Spain"/>
    <s v="2023-08-23"/>
    <s v="2023-08-23"/>
    <x v="11"/>
    <n v="1676559851"/>
    <d v="2023-02-16T15:04:11"/>
    <m/>
    <n v="0"/>
    <s v="Frequent buyer ñ"/>
    <s v="Frequent buyer n"/>
  </r>
  <r>
    <n v="1712"/>
    <s v="Fatima Ali"/>
    <s v="Fatima Ali"/>
    <s v="Fatima Ali"/>
    <n v="23"/>
    <n v="23"/>
    <x v="6"/>
    <s v="France"/>
    <s v="2023-07-23T00:00:00Z"/>
    <s v="2023-07-23"/>
    <x v="8"/>
    <n v="1679063020"/>
    <d v="2023-03-17T14:23:40"/>
    <n v="221.15"/>
    <n v="221.15"/>
    <s v="Great customer $$$"/>
    <s v="Great customer "/>
  </r>
  <r>
    <n v="1823"/>
    <s v="Anne Müller"/>
    <s v="Anne Müller"/>
    <s v="Anne Müller"/>
    <n v="55"/>
    <n v="55"/>
    <x v="1"/>
    <s v="Germany"/>
    <s v="08/16/2023"/>
    <s v="2023-08-16"/>
    <x v="11"/>
    <n v="1695080566"/>
    <d v="2023-09-18T23:42:46"/>
    <m/>
    <n v="0"/>
    <s v="Great customer $$$"/>
    <s v="Great customer "/>
  </r>
  <r>
    <n v="1241"/>
    <s v="Ahmed Hassan"/>
    <s v="Ahmed Hassan"/>
    <s v="Ahmed Hassan"/>
    <n v="58"/>
    <n v="58"/>
    <x v="8"/>
    <s v="Egypt"/>
    <s v="April 29 2023"/>
    <s v="2023-04-29"/>
    <x v="4"/>
    <n v="1682550809"/>
    <d v="2023-04-26T23:13:29"/>
    <m/>
    <n v="0"/>
    <s v="Frequent buyer ñ"/>
    <s v="Frequent buyer n"/>
  </r>
  <r>
    <n v="1171"/>
    <s v=" John Smith "/>
    <s v="John Smith"/>
    <s v=" John Smith "/>
    <n v="33"/>
    <n v="33"/>
    <x v="8"/>
    <s v="Egypt"/>
    <s v="2023-04-24T00:00:00Z"/>
    <s v="2023-04-24"/>
    <x v="4"/>
    <n v="1687078806"/>
    <d v="2023-06-18T09:00:06"/>
    <n v="1001.79"/>
    <n v="1001.79"/>
    <s v="Regular shopper"/>
    <s v="Regular shopper"/>
  </r>
  <r>
    <n v="2149"/>
    <s v="Mia Thompson"/>
    <s v="Mia Thompson"/>
    <s v="Mia Thompson"/>
    <n v="56"/>
    <n v="56"/>
    <x v="13"/>
    <s v="China"/>
    <s v="2023-01-22T00:00:00Z"/>
    <s v="2023-01-22"/>
    <x v="7"/>
    <n v="1676141089"/>
    <d v="2023-02-11T18:44:49"/>
    <n v="889.61"/>
    <n v="889.61"/>
    <s v="Holiday signup %"/>
    <s v="Holiday signup "/>
  </r>
  <r>
    <n v="1195"/>
    <s v="Anne Müller"/>
    <s v="Anne Müller"/>
    <s v="Anne Müller"/>
    <n v="41"/>
    <n v="41"/>
    <x v="5"/>
    <s v="UAE"/>
    <s v="2023-07-21"/>
    <s v="2023-07-21"/>
    <x v="8"/>
    <n v="1684177603"/>
    <d v="2023-05-15T19:06:43"/>
    <m/>
    <n v="0"/>
    <s v="Regular shopper"/>
    <s v="Regular shopper"/>
  </r>
  <r>
    <n v="2175"/>
    <s v=" Ahmed Hassan "/>
    <s v="Ahmed Hassan"/>
    <s v=" Ahmed Hassan "/>
    <n v="58"/>
    <n v="58"/>
    <x v="5"/>
    <s v="UAE"/>
    <s v="2023-12-09"/>
    <s v="2023-12-09"/>
    <x v="0"/>
    <n v="1679773083"/>
    <d v="2023-03-25T19:38:03"/>
    <n v="854.73"/>
    <n v="854.73"/>
    <s v="Newsletter subscriber %"/>
    <s v="Newsletter subscriber "/>
  </r>
  <r>
    <n v="1914"/>
    <s v="Maria Lopez"/>
    <s v="Maria Lopez"/>
    <s v="Maria Lopez"/>
    <m/>
    <n v="43"/>
    <x v="6"/>
    <s v="France"/>
    <s v="2023-04-18T00:00:00Z"/>
    <s v="2023-04-18"/>
    <x v="4"/>
    <n v="1698388054"/>
    <d v="2023-10-27T06:27:34"/>
    <m/>
    <n v="0"/>
    <s v="High engagement"/>
    <s v="High engagement"/>
  </r>
  <r>
    <n v="1627"/>
    <s v="Anne Müller"/>
    <s v="Anne Müller"/>
    <s v="Anne Müller"/>
    <m/>
    <n v="43"/>
    <x v="2"/>
    <s v="Japan"/>
    <s v="November 15 2023"/>
    <s v="2023-11-15"/>
    <x v="1"/>
    <n v="1693981220"/>
    <d v="2023-09-06T06:20:20"/>
    <m/>
    <n v="0"/>
    <s v="VIP client $$$"/>
    <s v="VIP client "/>
  </r>
  <r>
    <n v="1461"/>
    <s v="Ethan Clark"/>
    <s v="Ethan Clark"/>
    <s v="Ethan Clark"/>
    <n v="33"/>
    <n v="33"/>
    <x v="7"/>
    <s v="Brazil"/>
    <s v="January 14 2023"/>
    <s v="2023-01-14"/>
    <x v="7"/>
    <n v="1680055916"/>
    <d v="2023-03-29T02:11:56"/>
    <n v="1251.54"/>
    <n v="1251.54"/>
    <s v="VIP client $$$"/>
    <s v="VIP client "/>
  </r>
  <r>
    <n v="2140"/>
    <s v="Chloe Dubois"/>
    <s v="Chloe Dubois"/>
    <s v="Chloe Dubois"/>
    <n v="30"/>
    <n v="30"/>
    <x v="10"/>
    <s v="Sweden"/>
    <s v="October 25 2023"/>
    <s v="2023-10-25"/>
    <x v="3"/>
    <n v="1693571188"/>
    <d v="2023-09-01T12:26:28"/>
    <m/>
    <n v="0"/>
    <s v="Student account"/>
    <s v="Student account"/>
  </r>
  <r>
    <n v="2147"/>
    <s v="Ethan Clark"/>
    <s v="Ethan Clark"/>
    <s v="Ethan Clark"/>
    <m/>
    <n v="43"/>
    <x v="0"/>
    <s v="United Kingdom"/>
    <s v="02-02-2023"/>
    <s v="2023-02-02"/>
    <x v="2"/>
    <n v="1674718887"/>
    <d v="2023-01-26T07:41:27"/>
    <m/>
    <n v="0"/>
    <s v="Holiday signup %"/>
    <s v="Holiday signup "/>
  </r>
  <r>
    <n v="1477"/>
    <s v="Daniel Kim"/>
    <s v="Daniel Kim"/>
    <s v="Daniel Kim"/>
    <n v="50"/>
    <n v="50"/>
    <x v="9"/>
    <s v="Ireland"/>
    <s v="2023-12-15T00:00:00Z"/>
    <s v="2023-12-15"/>
    <x v="0"/>
    <n v="1683075479"/>
    <d v="2023-05-03T00:57:59"/>
    <n v="1295.47"/>
    <n v="1295.47"/>
    <s v="Newsletter subscriber %"/>
    <s v="Newsletter subscriber "/>
  </r>
  <r>
    <n v="1246"/>
    <s v="Björn Larsson"/>
    <s v="Björn Larsson"/>
    <s v="Björn Larsson"/>
    <n v="22"/>
    <n v="22"/>
    <x v="5"/>
    <s v="UAE"/>
    <s v="03/24/2023"/>
    <s v="2023-03-24"/>
    <x v="6"/>
    <n v="1680872326"/>
    <d v="2023-04-07T12:58:46"/>
    <n v="1469.88"/>
    <n v="1469.88"/>
    <s v="Frequent buyer ñ"/>
    <s v="Frequent buyer n"/>
  </r>
  <r>
    <n v="1186"/>
    <s v=" Sarah Johnson "/>
    <s v="Sarah Johnson"/>
    <s v=" Sarah Johnson "/>
    <m/>
    <n v="43"/>
    <x v="3"/>
    <s v="United States"/>
    <s v="June 23 2023"/>
    <s v="2023-06-23"/>
    <x v="10"/>
    <n v="1697750738"/>
    <d v="2023-10-19T21:25:38"/>
    <m/>
    <n v="0"/>
    <s v="Great customer $$$"/>
    <s v="Great customer "/>
  </r>
  <r>
    <n v="2164"/>
    <s v="Daniel Kim"/>
    <s v="Daniel Kim"/>
    <s v="Daniel Kim"/>
    <n v="22"/>
    <n v="22"/>
    <x v="8"/>
    <s v="Egypt"/>
    <s v="2023-04-04T00:00:00Z"/>
    <s v="2023-04-04"/>
    <x v="4"/>
    <n v="1679851410"/>
    <d v="2023-03-26T17:23:30"/>
    <n v="1463.9"/>
    <n v="1463.9"/>
    <s v="Frequent buyer ñ"/>
    <s v="Frequent buyer n"/>
  </r>
  <r>
    <n v="1412"/>
    <s v="Fatima Ali"/>
    <s v="Fatima Ali"/>
    <s v="Fatima Ali"/>
    <m/>
    <n v="43"/>
    <x v="5"/>
    <s v="UAE"/>
    <s v="July 26 2023"/>
    <s v="2023-07-26"/>
    <x v="8"/>
    <n v="1685176267"/>
    <d v="2023-05-27T08:31:07"/>
    <n v="132.76"/>
    <n v="132.76"/>
    <s v="Regular shopper"/>
    <s v="Regular shopper"/>
  </r>
  <r>
    <n v="1214"/>
    <s v="Lucas Silva"/>
    <s v="Lucas Silva"/>
    <s v="Lucas Silva"/>
    <m/>
    <n v="43"/>
    <x v="8"/>
    <s v="Egypt"/>
    <s v="2023-05-28"/>
    <s v="2023-05-28"/>
    <x v="9"/>
    <n v="1690225644"/>
    <d v="2023-07-24T19:07:24"/>
    <n v="1248.57"/>
    <n v="1248.57"/>
    <s v="Prefers email %"/>
    <s v="Prefers email "/>
  </r>
  <r>
    <n v="1224"/>
    <s v=" Anne Müller "/>
    <s v="Anne Müller"/>
    <s v=" Anne Müller "/>
    <n v="42"/>
    <n v="42"/>
    <x v="3"/>
    <s v="United States"/>
    <s v="May 04 2023"/>
    <s v="2023-05-04"/>
    <x v="9"/>
    <n v="1693170740"/>
    <d v="2023-08-27T21:12:20"/>
    <n v="562.64"/>
    <n v="562.64"/>
    <s v="Regular shopper"/>
    <s v="Regular shopper"/>
  </r>
  <r>
    <n v="1360"/>
    <s v="Olivia Wilson"/>
    <s v="Olivia Wilson"/>
    <s v="Olivia Wilson"/>
    <m/>
    <n v="43"/>
    <x v="13"/>
    <s v="China"/>
    <s v="20-03-2023"/>
    <s v="2023-03-20"/>
    <x v="6"/>
    <n v="1689488939"/>
    <d v="2023-07-16T06:28:59"/>
    <n v="104.84"/>
    <n v="104.84"/>
    <s v="VIP client $$$"/>
    <s v="VIP client "/>
  </r>
  <r>
    <n v="1688"/>
    <s v="Zoë Kravitz"/>
    <s v="Zoë Kravitz"/>
    <s v="Zoë Kravitz"/>
    <n v="19"/>
    <n v="19"/>
    <x v="4"/>
    <s v="Spain"/>
    <s v="2023-11-05T00:00:00Z"/>
    <s v="2023-11-05"/>
    <x v="1"/>
    <n v="1682181184"/>
    <d v="2023-04-22T16:33:04"/>
    <n v="839.71"/>
    <n v="839.71"/>
    <s v="Corporate account"/>
    <s v="Corporate account"/>
  </r>
  <r>
    <n v="1073"/>
    <s v="Daniel Kim"/>
    <s v="Daniel Kim"/>
    <s v="Daniel Kim"/>
    <m/>
    <n v="43"/>
    <x v="13"/>
    <s v="China"/>
    <s v="2023-05-25T00:00:00Z"/>
    <s v="2023-05-25"/>
    <x v="9"/>
    <n v="1685501751"/>
    <d v="2023-05-31T02:55:51"/>
    <n v="680.01"/>
    <n v="680.01"/>
    <s v="Regular shopper"/>
    <s v="Regular shopper"/>
  </r>
  <r>
    <n v="1513"/>
    <s v="Olivia Wilson"/>
    <s v="Olivia Wilson"/>
    <s v="Olivia Wilson"/>
    <m/>
    <n v="43"/>
    <x v="0"/>
    <s v="United Kingdom"/>
    <s v="2023-08-21T00:00:00Z"/>
    <s v="2023-08-21"/>
    <x v="11"/>
    <n v="1702033254"/>
    <d v="2023-12-08T11:00:54"/>
    <n v="546.6"/>
    <n v="546.6"/>
    <s v="Student account"/>
    <s v="Student account"/>
  </r>
  <r>
    <n v="1843"/>
    <s v="Lucas Silva"/>
    <s v="Lucas Silva"/>
    <s v="Lucas Silva"/>
    <m/>
    <n v="43"/>
    <x v="2"/>
    <s v="Japan"/>
    <s v="2023-11-09T00:00:00Z"/>
    <s v="2023-11-09"/>
    <x v="1"/>
    <n v="1690327582"/>
    <d v="2023-07-25T23:26:22"/>
    <n v="1105.6199999999999"/>
    <n v="1105.6199999999999"/>
    <s v="Prefers email %"/>
    <s v="Prefers email "/>
  </r>
  <r>
    <n v="1335"/>
    <s v=" Sofia Rossi "/>
    <s v="Sofia Rossi"/>
    <s v=" Sofia Rossi "/>
    <n v="57"/>
    <n v="57"/>
    <x v="9"/>
    <s v="Ireland"/>
    <s v="October 10 2023"/>
    <s v="2023-10-10"/>
    <x v="3"/>
    <n v="1696007492"/>
    <d v="2023-09-29T17:11:32"/>
    <n v="1475.12"/>
    <n v="1475.12"/>
    <s v="Prefers email %"/>
    <s v="Prefers email "/>
  </r>
  <r>
    <n v="1301"/>
    <s v=" Ethan Clark "/>
    <s v="Ethan Clark"/>
    <s v=" Ethan Clark "/>
    <m/>
    <n v="43"/>
    <x v="8"/>
    <s v="Egypt"/>
    <s v="July 14 2023"/>
    <s v="2023-07-14"/>
    <x v="8"/>
    <n v="1678243619"/>
    <d v="2023-03-08T02:46:59"/>
    <m/>
    <n v="0"/>
    <s v="Regular shopper"/>
    <s v="Regular shopper"/>
  </r>
  <r>
    <n v="2198"/>
    <s v=" Daniel Kim "/>
    <s v="Daniel Kim"/>
    <s v=" Daniel Kim "/>
    <n v="49"/>
    <n v="49"/>
    <x v="14"/>
    <s v="Italy"/>
    <s v="2023-06-23"/>
    <s v="2023-06-23"/>
    <x v="10"/>
    <n v="1702269692"/>
    <d v="2023-12-11T04:41:32"/>
    <n v="561.25"/>
    <n v="561.25"/>
    <s v="Frequent buyer ñ"/>
    <s v="Frequent buyer n"/>
  </r>
  <r>
    <n v="1615"/>
    <s v="Zoë Kravitz"/>
    <s v="Zoë Kravitz"/>
    <s v="Zoë Kravitz"/>
    <n v="25"/>
    <n v="25"/>
    <x v="1"/>
    <s v="Germany"/>
    <s v="21-11-2023"/>
    <s v="2023-11-21"/>
    <x v="1"/>
    <n v="1682333620"/>
    <d v="2023-04-24T10:53:40"/>
    <n v="1070"/>
    <n v="1070"/>
    <s v="Newsletter subscriber %"/>
    <s v="Newsletter subscriber "/>
  </r>
  <r>
    <n v="1653"/>
    <s v=" Sarah Johnson "/>
    <s v="Sarah Johnson"/>
    <s v=" Sarah Johnson "/>
    <m/>
    <n v="43"/>
    <x v="7"/>
    <s v="Brazil"/>
    <s v="August 18 2023"/>
    <s v="2023-08-18"/>
    <x v="11"/>
    <n v="1683849219"/>
    <d v="2023-05-11T23:53:39"/>
    <m/>
    <n v="0"/>
    <s v="Prefers email %"/>
    <s v="Prefers email "/>
  </r>
  <r>
    <n v="1536"/>
    <s v=" Chloe Dubois "/>
    <s v="Chloe Dubois"/>
    <s v=" Chloe Dubois "/>
    <n v="36"/>
    <n v="36"/>
    <x v="12"/>
    <s v="South Korea"/>
    <s v="2023-12-10"/>
    <s v="2023-12-10"/>
    <x v="0"/>
    <n v="1699551261"/>
    <d v="2023-11-09T17:34:21"/>
    <m/>
    <n v="0"/>
    <s v="Corporate account"/>
    <s v="Corporate account"/>
  </r>
  <r>
    <n v="1233"/>
    <s v="John Smith"/>
    <s v="John Smith"/>
    <s v="John Smith"/>
    <n v="24"/>
    <n v="24"/>
    <x v="6"/>
    <s v="France"/>
    <s v="2023-07-11"/>
    <s v="2023-07-11"/>
    <x v="8"/>
    <n v="1677691588"/>
    <d v="2023-03-01T17:26:28"/>
    <n v="862.14"/>
    <n v="862.14"/>
    <s v="Prefers email %"/>
    <s v="Prefers email "/>
  </r>
  <r>
    <n v="1155"/>
    <s v="John Smith"/>
    <s v="John Smith"/>
    <s v="John Smith"/>
    <n v="39"/>
    <n v="39"/>
    <x v="3"/>
    <s v="United States"/>
    <s v="2023-03-21T00:00:00Z"/>
    <s v="2023-03-21"/>
    <x v="6"/>
    <n v="1693533314"/>
    <d v="2023-09-01T01:55:14"/>
    <m/>
    <n v="0"/>
    <s v="Newsletter subscriber %"/>
    <s v="Newsletter subscriber "/>
  </r>
  <r>
    <n v="1217"/>
    <s v=" Mia Thompson "/>
    <s v="Mia Thompson"/>
    <s v=" Mia Thompson "/>
    <n v="63"/>
    <n v="63"/>
    <x v="3"/>
    <s v="United States"/>
    <s v="2023-04-06"/>
    <s v="2023-04-06"/>
    <x v="4"/>
    <n v="1696624618"/>
    <d v="2023-10-06T20:36:58"/>
    <n v="1427.57"/>
    <n v="1427.57"/>
    <s v="High engagement"/>
    <s v="High engagement"/>
  </r>
  <r>
    <n v="1809"/>
    <s v="Liam O’Connor"/>
    <s v="Liam O’Connor"/>
    <s v="Liam O’Connor"/>
    <m/>
    <n v="43"/>
    <x v="10"/>
    <s v="Sweden"/>
    <s v="24-11-2023"/>
    <s v="2023-11-24"/>
    <x v="1"/>
    <n v="1679847530"/>
    <d v="2023-03-26T16:18:50"/>
    <m/>
    <n v="0"/>
    <s v="VIP client $$$"/>
    <s v="VIP client "/>
  </r>
  <r>
    <n v="1881"/>
    <s v="Li Wei"/>
    <s v="Li Wei"/>
    <s v="Li Wei"/>
    <n v="63"/>
    <n v="63"/>
    <x v="3"/>
    <s v="United States"/>
    <s v="2023-06-13T00:00:00Z"/>
    <s v="2023-06-13"/>
    <x v="10"/>
    <n v="1698407422"/>
    <d v="2023-10-27T11:50:22"/>
    <m/>
    <n v="0"/>
    <s v="Holiday signup %"/>
    <s v="Holiday signup "/>
  </r>
  <r>
    <n v="1135"/>
    <s v=" Daniel Kim "/>
    <s v="Daniel Kim"/>
    <s v=" Daniel Kim "/>
    <m/>
    <n v="43"/>
    <x v="8"/>
    <s v="Egypt"/>
    <s v="July 09 2023"/>
    <s v="2023-07-09"/>
    <x v="8"/>
    <n v="1682598623"/>
    <d v="2023-04-27T12:30:23"/>
    <m/>
    <n v="0"/>
    <s v="Corporate account"/>
    <s v="Corporate account"/>
  </r>
  <r>
    <n v="1691"/>
    <s v=" David Brown "/>
    <s v="David Brown"/>
    <s v=" David Brown "/>
    <m/>
    <n v="43"/>
    <x v="9"/>
    <s v="Ireland"/>
    <s v="05/23/2023"/>
    <s v="2023-05-23"/>
    <x v="9"/>
    <n v="1678897532"/>
    <d v="2023-03-15T16:25:32"/>
    <m/>
    <n v="0"/>
    <s v="High engagement"/>
    <s v="High engagement"/>
  </r>
  <r>
    <n v="1892"/>
    <s v="Sarah Johnson"/>
    <s v="Sarah Johnson"/>
    <s v="Sarah Johnson"/>
    <m/>
    <n v="43"/>
    <x v="0"/>
    <s v="United Kingdom"/>
    <s v="04-02-2023"/>
    <s v="2023-04-02"/>
    <x v="4"/>
    <n v="1696214237"/>
    <d v="2023-10-02T02:37:17"/>
    <m/>
    <n v="0"/>
    <s v="Frequent buyer ñ"/>
    <s v="Frequent buyer n"/>
  </r>
  <r>
    <n v="2154"/>
    <s v="Isabella Martinez"/>
    <s v="Isabella Martinez"/>
    <s v="Isabella Martinez"/>
    <n v="38"/>
    <n v="38"/>
    <x v="13"/>
    <s v="China"/>
    <s v="2023-03-17T00:00:00Z"/>
    <s v="2023-03-17"/>
    <x v="6"/>
    <n v="1683316948"/>
    <d v="2023-05-05T20:02:28"/>
    <m/>
    <n v="0"/>
    <s v="Regular shopper"/>
    <s v="Regular shopper"/>
  </r>
  <r>
    <n v="1545"/>
    <s v="Li Wei"/>
    <s v="Li Wei"/>
    <s v="Li Wei"/>
    <n v="35"/>
    <n v="35"/>
    <x v="0"/>
    <s v="United Kingdom"/>
    <s v="2023-07-06"/>
    <s v="2023-07-06"/>
    <x v="8"/>
    <n v="1688420309"/>
    <d v="2023-07-03T21:38:29"/>
    <n v="377.41"/>
    <n v="377.41"/>
    <s v="Newsletter subscriber %"/>
    <s v="Newsletter subscriber "/>
  </r>
  <r>
    <n v="1730"/>
    <s v="Mia Thompson"/>
    <s v="Mia Thompson"/>
    <s v="Mia Thompson"/>
    <m/>
    <n v="43"/>
    <x v="8"/>
    <s v="Egypt"/>
    <s v="2023-06-10T00:00:00Z"/>
    <s v="2023-06-10"/>
    <x v="10"/>
    <n v="1702159727"/>
    <d v="2023-12-09T22:08:47"/>
    <n v="809.1"/>
    <n v="809.1"/>
    <s v="Holiday signup %"/>
    <s v="Holiday signup "/>
  </r>
  <r>
    <n v="1247"/>
    <s v="Fatima Ali"/>
    <s v="Fatima Ali"/>
    <s v="Fatima Ali"/>
    <n v="30"/>
    <n v="30"/>
    <x v="10"/>
    <s v="Sweden"/>
    <s v="05/25/2023"/>
    <s v="2023-05-25"/>
    <x v="9"/>
    <n v="1699055801"/>
    <d v="2023-11-03T23:56:41"/>
    <n v="570.25"/>
    <n v="570.25"/>
    <s v="Student account"/>
    <s v="Student account"/>
  </r>
  <r>
    <n v="1783"/>
    <s v=" Chloe Dubois "/>
    <s v="Chloe Dubois"/>
    <s v=" Chloe Dubois "/>
    <n v="46"/>
    <n v="46"/>
    <x v="7"/>
    <s v="Brazil"/>
    <s v="22-08-2023"/>
    <s v="2023-08-22"/>
    <x v="11"/>
    <n v="1679160418"/>
    <d v="2023-03-18T17:26:58"/>
    <m/>
    <n v="0"/>
    <s v="Student account"/>
    <s v="Student account"/>
  </r>
  <r>
    <n v="1471"/>
    <s v="Daniel Kim"/>
    <s v="Daniel Kim"/>
    <s v="Daniel Kim"/>
    <n v="40"/>
    <n v="40"/>
    <x v="14"/>
    <s v="Italy"/>
    <s v="09/18/2023"/>
    <s v="2023-09-18"/>
    <x v="5"/>
    <n v="1685851199"/>
    <d v="2023-06-04T03:59:59"/>
    <n v="327.04000000000002"/>
    <n v="327.04000000000002"/>
    <s v="Holiday signup %"/>
    <s v="Holiday signup "/>
  </r>
  <r>
    <n v="1577"/>
    <s v="Akira Tanaka"/>
    <s v="Akira Tanaka"/>
    <s v="Akira Tanaka"/>
    <n v="50"/>
    <n v="50"/>
    <x v="1"/>
    <s v="Germany"/>
    <s v="08-11-2023"/>
    <s v="2023-08-11"/>
    <x v="11"/>
    <n v="1683747479"/>
    <d v="2023-05-10T19:37:59"/>
    <m/>
    <n v="0"/>
    <s v="High engagement"/>
    <s v="High engagement"/>
  </r>
  <r>
    <n v="1938"/>
    <s v="Noah Martin"/>
    <s v="Noah Martin"/>
    <s v="Noah Martin"/>
    <m/>
    <n v="43"/>
    <x v="9"/>
    <s v="Ireland"/>
    <s v="02-11-2023"/>
    <s v="2023-02-11"/>
    <x v="2"/>
    <n v="1699199879"/>
    <d v="2023-11-05T15:57:59"/>
    <n v="1480.3"/>
    <n v="1480.3"/>
    <s v="Prefers email %"/>
    <s v="Prefers email "/>
  </r>
  <r>
    <n v="1220"/>
    <s v="John Smith"/>
    <s v="John Smith"/>
    <s v="John Smith"/>
    <n v="57"/>
    <n v="57"/>
    <x v="7"/>
    <s v="Brazil"/>
    <s v="01-01-2023"/>
    <s v="2023-01-01"/>
    <x v="7"/>
    <n v="1687457756"/>
    <d v="2023-06-22T18:15:56"/>
    <n v="578.32000000000005"/>
    <n v="578.32000000000005"/>
    <s v="Prefers email %"/>
    <s v="Prefers email "/>
  </r>
  <r>
    <n v="2188"/>
    <s v="Renée Dupont"/>
    <s v="Renée Dupont"/>
    <s v="Renée Dupont"/>
    <n v="19"/>
    <n v="19"/>
    <x v="8"/>
    <s v="Egypt"/>
    <s v="02/02/2023"/>
    <s v="2023-02-02"/>
    <x v="2"/>
    <n v="1679754160"/>
    <d v="2023-03-25T14:22:40"/>
    <m/>
    <n v="0"/>
    <s v="Great customer $$$"/>
    <s v="Great customer "/>
  </r>
  <r>
    <n v="1077"/>
    <s v="Isabella Martinez"/>
    <s v="Isabella Martinez"/>
    <s v="Isabella Martinez"/>
    <n v="47"/>
    <n v="47"/>
    <x v="3"/>
    <s v="United States"/>
    <s v="2023-10-23"/>
    <s v="2023-10-23"/>
    <x v="3"/>
    <n v="1694556176"/>
    <d v="2023-09-12T22:02:56"/>
    <m/>
    <n v="0"/>
    <s v="Student account"/>
    <s v="Student account"/>
  </r>
  <r>
    <n v="1982"/>
    <s v="David Brown"/>
    <s v="David Brown"/>
    <s v="David Brown"/>
    <m/>
    <n v="43"/>
    <x v="1"/>
    <s v="Germany"/>
    <s v="May 01 2023"/>
    <s v="2023-05-01"/>
    <x v="9"/>
    <n v="1699714965"/>
    <d v="2023-11-11T15:02:45"/>
    <n v="12.9"/>
    <n v="12.9"/>
    <s v="Holiday signup %"/>
    <s v="Holiday signup "/>
  </r>
  <r>
    <n v="1240"/>
    <s v="Lucas Silva"/>
    <s v="Lucas Silva"/>
    <s v="Lucas Silva"/>
    <m/>
    <n v="43"/>
    <x v="10"/>
    <s v="Sweden"/>
    <s v="December 03 2023"/>
    <s v="2023-12-03"/>
    <x v="0"/>
    <n v="1679874817"/>
    <d v="2023-03-26T23:53:37"/>
    <m/>
    <n v="0"/>
    <s v="Prefers email %"/>
    <s v="Prefers email "/>
  </r>
  <r>
    <n v="1496"/>
    <s v="Björn Larsson"/>
    <s v="Björn Larsson"/>
    <s v="Björn Larsson"/>
    <n v="52"/>
    <n v="52"/>
    <x v="0"/>
    <s v="United Kingdom"/>
    <s v="2023-04-08"/>
    <s v="2023-04-08"/>
    <x v="4"/>
    <n v="1673068252"/>
    <d v="2023-01-07T05:10:52"/>
    <n v="56.34"/>
    <n v="56.34"/>
    <s v="VIP client $$$"/>
    <s v="VIP client "/>
  </r>
  <r>
    <n v="1795"/>
    <s v=" Olivia Wilson "/>
    <s v="Olivia Wilson"/>
    <s v=" Olivia Wilson "/>
    <n v="57"/>
    <n v="57"/>
    <x v="8"/>
    <s v="Egypt"/>
    <s v="2023-11-22T00:00:00Z"/>
    <s v="2023-11-22"/>
    <x v="1"/>
    <n v="1692433058"/>
    <d v="2023-08-19T08:17:38"/>
    <m/>
    <n v="0"/>
    <s v="Great customer $$$"/>
    <s v="Great customer "/>
  </r>
  <r>
    <n v="1841"/>
    <s v=" Anne Müller "/>
    <s v="Anne Müller"/>
    <s v=" Anne Müller "/>
    <n v="55"/>
    <n v="55"/>
    <x v="3"/>
    <s v="United States"/>
    <s v="September 17 2023"/>
    <s v="2023-09-17"/>
    <x v="5"/>
    <n v="1674842598"/>
    <d v="2023-01-27T18:03:18"/>
    <m/>
    <n v="0"/>
    <s v="Student account"/>
    <s v="Student account"/>
  </r>
  <r>
    <n v="1273"/>
    <s v="André Santos"/>
    <s v="André Santos"/>
    <s v="André Santos"/>
    <n v="18"/>
    <n v="18"/>
    <x v="10"/>
    <s v="Sweden"/>
    <s v="2023-01-07"/>
    <s v="2023-01-07"/>
    <x v="7"/>
    <n v="1690125417"/>
    <d v="2023-07-23T15:16:57"/>
    <n v="1002.21"/>
    <n v="1002.21"/>
    <s v="Student account"/>
    <s v="Student account"/>
  </r>
  <r>
    <n v="2109"/>
    <s v=" Li Wei "/>
    <s v="Li Wei"/>
    <s v=" Li Wei "/>
    <n v="26"/>
    <n v="26"/>
    <x v="3"/>
    <s v="United States"/>
    <s v="2023-09-02T00:00:00Z"/>
    <s v="2023-09-02"/>
    <x v="5"/>
    <n v="1674959719"/>
    <d v="2023-01-29T02:35:19"/>
    <n v="853.57"/>
    <n v="853.57"/>
    <s v="High engagement"/>
    <s v="High engagement"/>
  </r>
  <r>
    <n v="1922"/>
    <s v="Mia Thompson"/>
    <s v="Mia Thompson"/>
    <s v="Mia Thompson"/>
    <n v="32"/>
    <n v="32"/>
    <x v="8"/>
    <s v="Egypt"/>
    <s v="2023-11-11T00:00:00Z"/>
    <s v="2023-11-11"/>
    <x v="1"/>
    <n v="1702345304"/>
    <d v="2023-12-12T01:41:44"/>
    <n v="615.73"/>
    <n v="615.73"/>
    <s v="VIP client $$$"/>
    <s v="VIP client "/>
  </r>
  <r>
    <n v="2133"/>
    <s v=" Lucas Silva "/>
    <s v="Lucas Silva"/>
    <s v=" Lucas Silva "/>
    <n v="55"/>
    <n v="55"/>
    <x v="6"/>
    <s v="France"/>
    <s v="02-03-2023"/>
    <s v="2023-02-03"/>
    <x v="2"/>
    <n v="1693951704"/>
    <d v="2023-09-05T22:08:24"/>
    <m/>
    <n v="0"/>
    <s v="Frequent buyer ñ"/>
    <s v="Frequent buyer n"/>
  </r>
  <r>
    <n v="1255"/>
    <s v="Noah Martin"/>
    <s v="Noah Martin"/>
    <s v="Noah Martin"/>
    <n v="43"/>
    <n v="43"/>
    <x v="1"/>
    <s v="Germany"/>
    <s v="May 11 2023"/>
    <s v="2023-05-11"/>
    <x v="9"/>
    <n v="1687783232"/>
    <d v="2023-06-26T12:40:32"/>
    <m/>
    <n v="0"/>
    <s v="Corporate account"/>
    <s v="Corporate account"/>
  </r>
  <r>
    <n v="1420"/>
    <s v="Maria Lopez"/>
    <s v="Maria Lopez"/>
    <s v="Maria Lopez"/>
    <n v="54"/>
    <n v="54"/>
    <x v="0"/>
    <s v="United Kingdom"/>
    <s v="2023-06-22T00:00:00Z"/>
    <s v="2023-06-22"/>
    <x v="10"/>
    <n v="1696668828"/>
    <d v="2023-10-07T08:53:48"/>
    <m/>
    <n v="0"/>
    <s v="VIP client $$$"/>
    <s v="VIP client "/>
  </r>
  <r>
    <n v="1473"/>
    <s v="Emily Davis"/>
    <s v="Emily Davis"/>
    <s v="Emily Davis"/>
    <n v="35"/>
    <n v="35"/>
    <x v="14"/>
    <s v="Italy"/>
    <s v="05/02/2023"/>
    <s v="2023-05-02"/>
    <x v="9"/>
    <n v="1673294210"/>
    <d v="2023-01-09T19:56:50"/>
    <m/>
    <n v="0"/>
    <s v="VIP client $$$"/>
    <s v="VIP client "/>
  </r>
  <r>
    <n v="1505"/>
    <s v=" Sofia Rossi "/>
    <s v="Sofia Rossi"/>
    <s v=" Sofia Rossi "/>
    <n v="47"/>
    <n v="47"/>
    <x v="6"/>
    <s v="France"/>
    <s v="23-04-2023"/>
    <s v="2023-04-23"/>
    <x v="4"/>
    <n v="1676127306"/>
    <d v="2023-02-11T14:55:06"/>
    <m/>
    <n v="0"/>
    <s v="High engagement"/>
    <s v="High engagement"/>
  </r>
  <r>
    <n v="1484"/>
    <s v="John Smith"/>
    <s v="John Smith"/>
    <s v="John Smith"/>
    <n v="56"/>
    <n v="56"/>
    <x v="3"/>
    <s v="United States"/>
    <s v="2023-02-04"/>
    <s v="2023-02-04"/>
    <x v="2"/>
    <n v="1681551622"/>
    <d v="2023-04-15T09:40:22"/>
    <n v="1227.76"/>
    <n v="1227.76"/>
    <s v="Corporate account"/>
    <s v="Corporate account"/>
  </r>
  <r>
    <n v="1558"/>
    <s v="Ahmed Hassan"/>
    <s v="Ahmed Hassan"/>
    <s v="Ahmed Hassan"/>
    <n v="50"/>
    <n v="50"/>
    <x v="13"/>
    <s v="China"/>
    <s v="03/11/2023"/>
    <s v="2023-03-11"/>
    <x v="6"/>
    <n v="1674146171"/>
    <d v="2023-01-19T16:36:11"/>
    <n v="708.91"/>
    <n v="708.91"/>
    <s v="VIP client $$$"/>
    <s v="VIP client "/>
  </r>
  <r>
    <n v="1160"/>
    <s v=" Mia Thompson "/>
    <s v="Mia Thompson"/>
    <s v=" Mia Thompson "/>
    <m/>
    <n v="43"/>
    <x v="3"/>
    <s v="United States"/>
    <s v="2023-09-03"/>
    <s v="2023-09-03"/>
    <x v="5"/>
    <n v="1684351347"/>
    <d v="2023-05-17T19:22:27"/>
    <m/>
    <n v="0"/>
    <s v="Corporate account"/>
    <s v="Corporate account"/>
  </r>
  <r>
    <n v="1304"/>
    <s v=" Chloe Dubois "/>
    <s v="Chloe Dubois"/>
    <s v=" Chloe Dubois "/>
    <m/>
    <n v="43"/>
    <x v="0"/>
    <s v="United Kingdom"/>
    <s v="2023-02-20T00:00:00Z"/>
    <s v="2023-02-20"/>
    <x v="2"/>
    <n v="1689497296"/>
    <d v="2023-07-16T08:48:16"/>
    <m/>
    <n v="0"/>
    <s v="High engagement"/>
    <s v="High engagement"/>
  </r>
  <r>
    <n v="1305"/>
    <s v=" Renée Dupont "/>
    <s v="Renée Dupont"/>
    <s v=" Renée Dupont "/>
    <n v="21"/>
    <n v="21"/>
    <x v="0"/>
    <s v="United Kingdom"/>
    <s v="2023-03-17"/>
    <s v="2023-03-17"/>
    <x v="6"/>
    <n v="1687587262"/>
    <d v="2023-06-24T06:14:22"/>
    <n v="197.9"/>
    <n v="197.9"/>
    <s v="Student account"/>
    <s v="Student account"/>
  </r>
  <r>
    <n v="1764"/>
    <s v=" Lucas Silva "/>
    <s v="Lucas Silva"/>
    <s v=" Lucas Silva "/>
    <n v="48"/>
    <n v="48"/>
    <x v="1"/>
    <s v="Germany"/>
    <s v="17-03-2023"/>
    <s v="2023-03-17"/>
    <x v="6"/>
    <n v="1695352949"/>
    <d v="2023-09-22T03:22:29"/>
    <m/>
    <n v="0"/>
    <s v="Corporate account"/>
    <s v="Corporate account"/>
  </r>
  <r>
    <n v="1673"/>
    <s v="Sarah Johnson"/>
    <s v="Sarah Johnson"/>
    <s v="Sarah Johnson"/>
    <n v="18"/>
    <n v="18"/>
    <x v="5"/>
    <s v="UAE"/>
    <s v="10-02-2023"/>
    <s v="2023-10-02"/>
    <x v="3"/>
    <n v="1694228448"/>
    <d v="2023-09-09T03:00:48"/>
    <m/>
    <n v="0"/>
    <s v="Great customer $$$"/>
    <s v="Great customer "/>
  </r>
  <r>
    <n v="1251"/>
    <s v="Isabella Martinez"/>
    <s v="Isabella Martinez"/>
    <s v="Isabella Martinez"/>
    <m/>
    <n v="43"/>
    <x v="3"/>
    <s v="United States"/>
    <s v="06/30/2023"/>
    <s v="2023-06-30"/>
    <x v="10"/>
    <n v="1685539115"/>
    <d v="2023-05-31T13:18:35"/>
    <m/>
    <n v="0"/>
    <s v="Great customer $$$"/>
    <s v="Great customer "/>
  </r>
  <r>
    <n v="1697"/>
    <s v="Noah Martin"/>
    <s v="Noah Martin"/>
    <s v="Noah Martin"/>
    <n v="24"/>
    <n v="24"/>
    <x v="13"/>
    <s v="China"/>
    <s v="04/19/2023"/>
    <s v="2023-04-19"/>
    <x v="4"/>
    <n v="1678904163"/>
    <d v="2023-03-15T18:16:03"/>
    <m/>
    <n v="0"/>
    <s v="Holiday signup %"/>
    <s v="Holiday signup "/>
  </r>
  <r>
    <n v="1138"/>
    <s v=" André Santos "/>
    <s v="André Santos"/>
    <s v=" André Santos "/>
    <n v="49"/>
    <n v="49"/>
    <x v="12"/>
    <s v="South Korea"/>
    <s v="18-07-2023"/>
    <s v="2023-07-18"/>
    <x v="8"/>
    <n v="1694083641"/>
    <d v="2023-09-07T10:47:21"/>
    <n v="559.62"/>
    <n v="559.62"/>
    <s v="Great customer $$$"/>
    <s v="Great customer "/>
  </r>
  <r>
    <n v="1067"/>
    <s v="Liam O’Connor"/>
    <s v="Liam O’Connor"/>
    <s v="Liam O’Connor"/>
    <m/>
    <n v="43"/>
    <x v="11"/>
    <s v="Mexico"/>
    <s v="2023-01-20"/>
    <s v="2023-01-20"/>
    <x v="7"/>
    <n v="1674366574"/>
    <d v="2023-01-22T05:49:34"/>
    <n v="1409.18"/>
    <n v="1409.18"/>
    <s v="Student account"/>
    <s v="Student account"/>
  </r>
  <r>
    <n v="1977"/>
    <s v="Maria Lopez"/>
    <s v="Maria Lopez"/>
    <s v="Maria Lopez"/>
    <n v="43"/>
    <n v="43"/>
    <x v="0"/>
    <s v="United Kingdom"/>
    <s v="05/16/2023"/>
    <s v="2023-05-16"/>
    <x v="9"/>
    <n v="1692349765"/>
    <d v="2023-08-18T09:09:25"/>
    <n v="1410.09"/>
    <n v="1410.09"/>
    <s v="Prefers email %"/>
    <s v="Prefers email "/>
  </r>
  <r>
    <n v="1685"/>
    <s v=" Sarah Johnson "/>
    <s v="Sarah Johnson"/>
    <s v=" Sarah Johnson "/>
    <n v="54"/>
    <n v="54"/>
    <x v="3"/>
    <s v="United States"/>
    <s v="08/29/2023"/>
    <s v="2023-08-29"/>
    <x v="11"/>
    <n v="1696976747"/>
    <d v="2023-10-10T22:25:47"/>
    <n v="1065.1600000000001"/>
    <n v="1065.1600000000001"/>
    <s v="Corporate account"/>
    <s v="Corporate account"/>
  </r>
  <r>
    <n v="1557"/>
    <s v="Zoë Kravitz"/>
    <s v="Zoë Kravitz"/>
    <s v="Zoë Kravitz"/>
    <m/>
    <n v="43"/>
    <x v="3"/>
    <s v="United States"/>
    <s v="2023-02-02T00:00:00Z"/>
    <s v="2023-02-02"/>
    <x v="2"/>
    <n v="1702213250"/>
    <d v="2023-12-10T13:00:50"/>
    <m/>
    <n v="0"/>
    <s v="Student account"/>
    <s v="Student account"/>
  </r>
  <r>
    <n v="1409"/>
    <s v="Liam O’Connor"/>
    <s v="Liam O’Connor"/>
    <s v="Liam O’Connor"/>
    <n v="54"/>
    <n v="54"/>
    <x v="14"/>
    <s v="Italy"/>
    <s v="February 19 2023"/>
    <s v="2023-02-19"/>
    <x v="2"/>
    <n v="1688356808"/>
    <d v="2023-07-03T04:00:08"/>
    <n v="940.68"/>
    <n v="940.68"/>
    <s v="Newsletter subscriber %"/>
    <s v="Newsletter subscriber "/>
  </r>
  <r>
    <n v="1094"/>
    <s v="Lucas Silva"/>
    <s v="Lucas Silva"/>
    <s v="Lucas Silva"/>
    <m/>
    <n v="43"/>
    <x v="8"/>
    <s v="Egypt"/>
    <s v="April 27 2023"/>
    <s v="2023-04-27"/>
    <x v="4"/>
    <n v="1691396196"/>
    <d v="2023-08-07T08:16:36"/>
    <n v="34.479999999999997"/>
    <n v="34.479999999999997"/>
    <s v="Prefers email %"/>
    <s v="Prefers email "/>
  </r>
  <r>
    <n v="1453"/>
    <s v=" André Santos "/>
    <s v="André Santos"/>
    <s v=" André Santos "/>
    <n v="41"/>
    <n v="41"/>
    <x v="7"/>
    <s v="Brazil"/>
    <s v="2023-01-06T00:00:00Z"/>
    <s v="2023-01-06"/>
    <x v="7"/>
    <n v="1686252399"/>
    <d v="2023-06-08T19:26:39"/>
    <m/>
    <n v="0"/>
    <s v="Holiday signup %"/>
    <s v="Holiday signup "/>
  </r>
  <r>
    <n v="1975"/>
    <s v=" Renée Dupont "/>
    <s v="Renée Dupont"/>
    <s v=" Renée Dupont "/>
    <n v="60"/>
    <n v="60"/>
    <x v="3"/>
    <s v="United States"/>
    <s v="09/08/2023"/>
    <s v="2023-09-08"/>
    <x v="5"/>
    <n v="1699224009"/>
    <d v="2023-11-05T22:40:09"/>
    <m/>
    <n v="0"/>
    <s v="Prefers email %"/>
    <s v="Prefers email "/>
  </r>
  <r>
    <n v="1337"/>
    <s v="John Smith"/>
    <s v="John Smith"/>
    <s v="John Smith"/>
    <n v="58"/>
    <n v="58"/>
    <x v="7"/>
    <s v="Brazil"/>
    <s v="04/09/2023"/>
    <s v="2023-04-09"/>
    <x v="4"/>
    <n v="1700116280"/>
    <d v="2023-11-16T06:31:20"/>
    <n v="243.86"/>
    <n v="243.86"/>
    <s v="Frequent buyer ñ"/>
    <s v="Frequent buyer n"/>
  </r>
  <r>
    <n v="1402"/>
    <s v=" David Brown "/>
    <s v="David Brown"/>
    <s v=" David Brown "/>
    <n v="36"/>
    <n v="36"/>
    <x v="12"/>
    <s v="South Korea"/>
    <s v="2023-04-26T00:00:00Z"/>
    <s v="2023-04-26"/>
    <x v="4"/>
    <n v="1677037575"/>
    <d v="2023-02-22T03:46:15"/>
    <n v="56.92"/>
    <n v="56.92"/>
    <s v="Newsletter subscriber %"/>
    <s v="Newsletter subscriber "/>
  </r>
  <r>
    <n v="1728"/>
    <s v="John Smith"/>
    <s v="John Smith"/>
    <s v="John Smith"/>
    <n v="58"/>
    <n v="58"/>
    <x v="0"/>
    <s v="United Kingdom"/>
    <s v="2023-02-03"/>
    <s v="2023-02-03"/>
    <x v="2"/>
    <n v="1681510235"/>
    <d v="2023-04-14T22:10:35"/>
    <n v="1204.97"/>
    <n v="1204.97"/>
    <s v="High engagement"/>
    <s v="High engagement"/>
  </r>
  <r>
    <n v="1518"/>
    <s v=" Ahmed Hassan "/>
    <s v="Ahmed Hassan"/>
    <s v=" Ahmed Hassan "/>
    <n v="51"/>
    <n v="51"/>
    <x v="3"/>
    <s v="United States"/>
    <s v="14-05-2023"/>
    <s v="2023-05-14"/>
    <x v="9"/>
    <n v="1701278328"/>
    <d v="2023-11-29T17:18:48"/>
    <m/>
    <n v="0"/>
    <s v="Regular shopper"/>
    <s v="Regular shopper"/>
  </r>
  <r>
    <n v="1820"/>
    <s v="Mia Thompson"/>
    <s v="Mia Thompson"/>
    <s v="Mia Thompson"/>
    <n v="28"/>
    <n v="28"/>
    <x v="11"/>
    <s v="Mexico"/>
    <s v="28-07-2023"/>
    <s v="2023-07-28"/>
    <x v="8"/>
    <n v="1677845493"/>
    <d v="2023-03-03T12:11:33"/>
    <m/>
    <n v="0"/>
    <s v="Frequent buyer ñ"/>
    <s v="Frequent buyer n"/>
  </r>
  <r>
    <n v="2114"/>
    <s v=" Zoë Kravitz "/>
    <s v="Zoë Kravitz"/>
    <s v=" Zoë Kravitz "/>
    <n v="30"/>
    <n v="30"/>
    <x v="3"/>
    <s v="United States"/>
    <s v="August 29 2023"/>
    <s v="2023-08-29"/>
    <x v="11"/>
    <n v="1682849687"/>
    <d v="2023-04-30T10:14:47"/>
    <m/>
    <n v="0"/>
    <s v="Student account"/>
    <s v="Student account"/>
  </r>
  <r>
    <n v="1490"/>
    <s v="David Brown"/>
    <s v="David Brown"/>
    <s v="David Brown"/>
    <n v="31"/>
    <n v="31"/>
    <x v="10"/>
    <s v="Sweden"/>
    <s v="2023-05-12T00:00:00Z"/>
    <s v="2023-05-12"/>
    <x v="9"/>
    <n v="1683096122"/>
    <d v="2023-05-03T06:42:02"/>
    <n v="1326.39"/>
    <n v="1326.39"/>
    <s v="High engagement"/>
    <s v="High engagement"/>
  </r>
  <r>
    <n v="1455"/>
    <s v="Carlos García"/>
    <s v="Carlos García"/>
    <s v="Carlos García"/>
    <n v="24"/>
    <n v="24"/>
    <x v="12"/>
    <s v="South Korea"/>
    <s v="September 27 2023"/>
    <s v="2023-09-27"/>
    <x v="5"/>
    <n v="1696725191"/>
    <d v="2023-10-08T00:33:11"/>
    <n v="1319.11"/>
    <n v="1319.11"/>
    <s v="Corporate account"/>
    <s v="Corporate account"/>
  </r>
  <r>
    <n v="2075"/>
    <s v=" John Smith "/>
    <s v="John Smith"/>
    <s v=" John Smith "/>
    <n v="29"/>
    <n v="29"/>
    <x v="3"/>
    <s v="United States"/>
    <s v="2023-10-28"/>
    <s v="2023-10-28"/>
    <x v="3"/>
    <n v="1683750926"/>
    <d v="2023-05-10T20:35:26"/>
    <n v="1170.1600000000001"/>
    <n v="1170.1600000000001"/>
    <s v="Corporate account"/>
    <s v="Corporate account"/>
  </r>
  <r>
    <n v="1492"/>
    <s v=" Ethan Clark "/>
    <s v="Ethan Clark"/>
    <s v=" Ethan Clark "/>
    <n v="39"/>
    <n v="39"/>
    <x v="3"/>
    <s v="United States"/>
    <s v="2023-05-11"/>
    <s v="2023-05-11"/>
    <x v="9"/>
    <n v="1695858325"/>
    <d v="2023-09-27T23:45:25"/>
    <m/>
    <n v="0"/>
    <s v="Frequent buyer ñ"/>
    <s v="Frequent buyer n"/>
  </r>
  <r>
    <n v="2065"/>
    <s v="Chloe Dubois"/>
    <s v="Chloe Dubois"/>
    <s v="Chloe Dubois"/>
    <m/>
    <n v="43"/>
    <x v="3"/>
    <s v="United States"/>
    <s v="06/22/2023"/>
    <s v="2023-06-22"/>
    <x v="10"/>
    <n v="1689045381"/>
    <d v="2023-07-11T03:16:21"/>
    <m/>
    <n v="0"/>
    <s v="High engagement"/>
    <s v="High engagement"/>
  </r>
  <r>
    <n v="1417"/>
    <s v="Olivia Wilson"/>
    <s v="Olivia Wilson"/>
    <s v="Olivia Wilson"/>
    <n v="56"/>
    <n v="56"/>
    <x v="13"/>
    <s v="China"/>
    <s v="March 20 2023"/>
    <s v="2023-03-20"/>
    <x v="6"/>
    <n v="1674962716"/>
    <d v="2023-01-29T03:25:16"/>
    <n v="487.36"/>
    <n v="487.36"/>
    <s v="Prefers email %"/>
    <s v="Prefers email "/>
  </r>
  <r>
    <n v="1098"/>
    <s v="Ahmed Hassan"/>
    <s v="Ahmed Hassan"/>
    <s v="Ahmed Hassan"/>
    <n v="55"/>
    <n v="55"/>
    <x v="3"/>
    <s v="United States"/>
    <s v="29-05-2023"/>
    <s v="2023-05-29"/>
    <x v="9"/>
    <n v="1691787179"/>
    <d v="2023-08-11T20:52:59"/>
    <n v="280.85000000000002"/>
    <n v="280.85000000000002"/>
    <s v="Regular shopper"/>
    <s v="Regular shopper"/>
  </r>
  <r>
    <n v="1677"/>
    <s v=" Daniel Kim "/>
    <s v="Daniel Kim"/>
    <s v=" Daniel Kim "/>
    <m/>
    <n v="43"/>
    <x v="1"/>
    <s v="Germany"/>
    <s v="03/31/2023"/>
    <s v="2023-03-31"/>
    <x v="6"/>
    <n v="1676159786"/>
    <d v="2023-02-11T23:56:26"/>
    <n v="285.58"/>
    <n v="285.58"/>
    <s v="Student account"/>
    <s v="Student account"/>
  </r>
  <r>
    <n v="1929"/>
    <s v="Sofia Rossi"/>
    <s v="Sofia Rossi"/>
    <s v="Sofia Rossi"/>
    <n v="58"/>
    <n v="58"/>
    <x v="12"/>
    <s v="South Korea"/>
    <s v="November 25 2023"/>
    <s v="2023-11-25"/>
    <x v="1"/>
    <n v="1693561879"/>
    <d v="2023-09-01T09:51:19"/>
    <m/>
    <n v="0"/>
    <s v="VIP client $$$"/>
    <s v="VIP client "/>
  </r>
  <r>
    <n v="1788"/>
    <s v="Maria Lopez"/>
    <s v="Maria Lopez"/>
    <s v="Maria Lopez"/>
    <n v="62"/>
    <n v="62"/>
    <x v="3"/>
    <s v="United States"/>
    <s v="2023-05-15"/>
    <s v="2023-05-15"/>
    <x v="9"/>
    <n v="1685854467"/>
    <d v="2023-06-04T04:54:27"/>
    <m/>
    <n v="0"/>
    <s v="Prefers email %"/>
    <s v="Prefers email "/>
  </r>
  <r>
    <n v="1400"/>
    <s v=" David Brown "/>
    <s v="David Brown"/>
    <s v=" David Brown "/>
    <n v="32"/>
    <n v="32"/>
    <x v="2"/>
    <s v="Japan"/>
    <s v="07/03/2023"/>
    <s v="2023-07-03"/>
    <x v="8"/>
    <n v="1679322751"/>
    <d v="2023-03-20T14:32:31"/>
    <m/>
    <n v="0"/>
    <s v="Prefers email %"/>
    <s v="Prefers email "/>
  </r>
  <r>
    <n v="1231"/>
    <s v="Emily Davis"/>
    <s v="Emily Davis"/>
    <s v="Emily Davis"/>
    <n v="50"/>
    <n v="50"/>
    <x v="2"/>
    <s v="Japan"/>
    <s v="March 09 2023"/>
    <s v="2023-03-09"/>
    <x v="6"/>
    <n v="1689158545"/>
    <d v="2023-07-12T10:42:25"/>
    <m/>
    <n v="0"/>
    <s v="High engagement"/>
    <s v="High engagement"/>
  </r>
  <r>
    <n v="1249"/>
    <s v=" David Brown "/>
    <s v="David Brown"/>
    <s v=" David Brown "/>
    <n v="60"/>
    <n v="60"/>
    <x v="11"/>
    <s v="Mexico"/>
    <s v="07-06-2023"/>
    <s v="2023-07-06"/>
    <x v="8"/>
    <n v="1692406847"/>
    <d v="2023-08-19T01:00:47"/>
    <n v="83.28"/>
    <n v="83.28"/>
    <s v="Holiday signup %"/>
    <s v="Holiday signup "/>
  </r>
  <r>
    <n v="2105"/>
    <s v="Emily Davis"/>
    <s v="Emily Davis"/>
    <s v="Emily Davis"/>
    <n v="29"/>
    <n v="29"/>
    <x v="2"/>
    <s v="Japan"/>
    <s v="2023-07-29"/>
    <s v="2023-07-29"/>
    <x v="8"/>
    <n v="1683881211"/>
    <d v="2023-05-12T08:46:51"/>
    <m/>
    <n v="0"/>
    <s v="Great customer $$$"/>
    <s v="Great customer "/>
  </r>
  <r>
    <n v="2010"/>
    <s v="Renée Dupont"/>
    <s v="Renée Dupont"/>
    <s v="Renée Dupont"/>
    <m/>
    <n v="43"/>
    <x v="13"/>
    <s v="China"/>
    <s v="2023-12-15"/>
    <s v="2023-12-15"/>
    <x v="0"/>
    <n v="1687743408"/>
    <d v="2023-06-26T01:36:48"/>
    <n v="722.7"/>
    <n v="722.7"/>
    <s v="High engagement"/>
    <s v="High engagement"/>
  </r>
  <r>
    <n v="2118"/>
    <s v="Ahmed Hassan"/>
    <s v="Ahmed Hassan"/>
    <s v="Ahmed Hassan"/>
    <n v="62"/>
    <n v="62"/>
    <x v="12"/>
    <s v="South Korea"/>
    <s v="16-02-2023"/>
    <s v="2023-02-16"/>
    <x v="2"/>
    <n v="1703516529"/>
    <d v="2023-12-25T15:02:09"/>
    <m/>
    <n v="0"/>
    <s v="Regular shopper"/>
    <s v="Regular shopp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27BE8-9496-40CC-8EEE-A3946464DE10}" name="PivotTable3" cacheId="5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3:B36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13">
        <item x="7"/>
        <item x="2"/>
        <item x="6"/>
        <item x="4"/>
        <item x="9"/>
        <item x="10"/>
        <item x="8"/>
        <item x="11"/>
        <item x="5"/>
        <item x="3"/>
        <item x="1"/>
        <item x="0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ignup_Date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146BF-3C89-4EC6-B0F6-76C8FF5398ED}" name="PivotTable2" cacheId="5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19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7"/>
        <item x="13"/>
        <item x="8"/>
        <item x="6"/>
        <item x="1"/>
        <item x="9"/>
        <item x="14"/>
        <item x="2"/>
        <item x="11"/>
        <item x="12"/>
        <item x="4"/>
        <item x="10"/>
        <item x="5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 Spend New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17BAE-FA49-4DB6-89B3-46540695C034}" name="PivotTable4" cacheId="5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41:B57" firstHeaderRow="1" firstDataRow="1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7"/>
        <item x="13"/>
        <item x="8"/>
        <item x="6"/>
        <item x="1"/>
        <item x="9"/>
        <item x="14"/>
        <item x="2"/>
        <item x="11"/>
        <item x="12"/>
        <item x="4"/>
        <item x="10"/>
        <item x="5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Customer_ID" fld="0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9"/>
  <sheetViews>
    <sheetView tabSelected="1" topLeftCell="G1" workbookViewId="0">
      <selection activeCell="K2" sqref="K2"/>
    </sheetView>
  </sheetViews>
  <sheetFormatPr defaultRowHeight="15"/>
  <cols>
    <col min="1" max="1" width="15.85546875" customWidth="1"/>
    <col min="2" max="2" width="13.42578125" customWidth="1"/>
    <col min="3" max="3" width="13.42578125" style="9" customWidth="1"/>
    <col min="4" max="4" width="13.42578125" style="7" customWidth="1"/>
    <col min="6" max="6" width="9.140625" style="7"/>
    <col min="7" max="7" width="12.28515625" customWidth="1"/>
    <col min="8" max="8" width="16.85546875" style="7" customWidth="1"/>
    <col min="9" max="9" width="15.5703125" customWidth="1"/>
    <col min="10" max="10" width="18" style="7" customWidth="1"/>
    <col min="11" max="11" width="15.5703125" style="5" customWidth="1"/>
    <col min="12" max="12" width="20.85546875" customWidth="1"/>
    <col min="13" max="13" width="26.42578125" style="11" customWidth="1"/>
    <col min="14" max="14" width="11.85546875" customWidth="1"/>
    <col min="15" max="15" width="17.28515625" style="7" customWidth="1"/>
    <col min="16" max="16" width="18" customWidth="1"/>
    <col min="17" max="17" width="17" style="7" customWidth="1"/>
  </cols>
  <sheetData>
    <row r="1" spans="1:17">
      <c r="A1" s="1" t="s">
        <v>0</v>
      </c>
      <c r="B1" s="1" t="s">
        <v>1</v>
      </c>
      <c r="C1" s="8" t="s">
        <v>2</v>
      </c>
      <c r="D1" s="6" t="s">
        <v>3</v>
      </c>
      <c r="E1" s="1" t="s">
        <v>4</v>
      </c>
      <c r="F1" s="6" t="s">
        <v>5</v>
      </c>
      <c r="G1" s="1" t="s">
        <v>6</v>
      </c>
      <c r="H1" s="6" t="s">
        <v>7</v>
      </c>
      <c r="I1" s="1" t="s">
        <v>8</v>
      </c>
      <c r="J1" s="6" t="s">
        <v>9</v>
      </c>
      <c r="K1" s="13" t="s">
        <v>10</v>
      </c>
      <c r="L1" s="1" t="s">
        <v>11</v>
      </c>
      <c r="M1" s="10" t="s">
        <v>12</v>
      </c>
      <c r="N1" s="1" t="s">
        <v>13</v>
      </c>
      <c r="O1" s="6" t="s">
        <v>14</v>
      </c>
      <c r="P1" s="1" t="s">
        <v>15</v>
      </c>
      <c r="Q1" s="12" t="s">
        <v>16</v>
      </c>
    </row>
    <row r="2" spans="1:17">
      <c r="A2">
        <v>1229</v>
      </c>
      <c r="B2" t="s">
        <v>17</v>
      </c>
      <c r="C2" s="9" t="str">
        <f>TRIM(B2)</f>
        <v>John Smith</v>
      </c>
      <c r="D2" s="7" t="str">
        <f>PROPER(B2)</f>
        <v>John Smith</v>
      </c>
      <c r="E2">
        <v>33</v>
      </c>
      <c r="F2" s="7">
        <f>IF(OR(E2="", ISBLANK(E2)), MEDIAN($E$2:$E$1501), E2)</f>
        <v>33</v>
      </c>
      <c r="G2" t="s">
        <v>18</v>
      </c>
      <c r="H2" s="7" t="str">
        <f>TRIM(G2)</f>
        <v>United Kingdom</v>
      </c>
      <c r="I2" t="s">
        <v>19</v>
      </c>
      <c r="J2" s="7" t="str">
        <f>TEXT(
  IFERROR(
    DATEVALUE(SUBSTITUTE(SUBSTITUTE(TRIM(I2),"T"," "),"Z","")),
    IFERROR(
      DATE(
        RIGHT(TRIM(I2),4),
        MID(TRIM(I2),4,2),
        LEFT(TRIM(I2),2)
      ),
      DATE(
        VALUE(RIGHT(TRIM(I2),4)),
        MATCH(LEFT(TRIM(I2),FIND(" ",TRIM(I2))-1),
          {"January","February","March","April","May","June","July","August","September","October","November","December"},0),
        VALUE(MID(TRIM(I2),
          FIND(" ",TRIM(I2))+1,
          FIND(" ",TRIM(I2),FIND(" ",TRIM(I2))+1)-FIND(" ",TRIM(I2))-1))
      )
    )
  ),
"yyyy-mm-dd")</f>
        <v>2023-12-13</v>
      </c>
      <c r="K2" s="5" t="str">
        <f>TEXT(J2,"mmm")</f>
        <v>Dec</v>
      </c>
      <c r="L2">
        <v>1675441183</v>
      </c>
      <c r="M2" s="11">
        <f>((L2)/86400)+DATE(1970,1,1)</f>
        <v>44960.680358796293</v>
      </c>
      <c r="N2">
        <v>889.83</v>
      </c>
      <c r="O2" s="7">
        <f>IF(N2="", 0, N2)</f>
        <v>889.83</v>
      </c>
      <c r="P2" t="s">
        <v>20</v>
      </c>
      <c r="Q2" s="7" t="str">
        <f>SUBSTITUTE(SUBSTITUTE(SUBSTITUTE(P2,"$",""),"%",""),"ñ","n")</f>
        <v xml:space="preserve">Great customer </v>
      </c>
    </row>
    <row r="3" spans="1:17">
      <c r="A3">
        <v>1192</v>
      </c>
      <c r="B3" t="s">
        <v>21</v>
      </c>
      <c r="C3" s="9" t="str">
        <f t="shared" ref="C3:C66" si="0">TRIM(B3)</f>
        <v>David Brown</v>
      </c>
      <c r="D3" s="7" t="str">
        <f t="shared" ref="D3:D66" si="1">PROPER(B3)</f>
        <v xml:space="preserve"> David Brown </v>
      </c>
      <c r="E3">
        <v>19</v>
      </c>
      <c r="F3" s="7">
        <f t="shared" ref="F3:F66" si="2">IF(OR(E3="", ISBLANK(E3)), MEDIAN($E$2:$E$1501), E3)</f>
        <v>19</v>
      </c>
      <c r="G3" t="s">
        <v>22</v>
      </c>
      <c r="H3" s="7" t="str">
        <f t="shared" ref="H3:H66" si="3">TRIM(G3)</f>
        <v>Germany</v>
      </c>
      <c r="I3" t="s">
        <v>23</v>
      </c>
      <c r="J3" s="7" t="str">
        <f>TEXT(
  IFERROR(
    DATEVALUE(SUBSTITUTE(SUBSTITUTE(TRIM(I3),"T"," "),"Z","")),
    IFERROR(
      DATE(
        RIGHT(TRIM(I3),4),
        MID(TRIM(I3),4,2),
        LEFT(TRIM(I3),2)
      ),
      DATE(
        VALUE(RIGHT(TRIM(I3),4)),
        MATCH(LEFT(TRIM(I3),FIND(" ",TRIM(I3))-1),
          {"January","February","March","April","May","June","July","August","September","October","November","December"},0),
        VALUE(MID(TRIM(I3),
          FIND(" ",TRIM(I3))+1,
          FIND(" ",TRIM(I3),FIND(" ",TRIM(I3))+1)-FIND(" ",TRIM(I3))-1))
      )
    )
  ),
"yyyy-mm-dd")</f>
        <v>2023-11-29</v>
      </c>
      <c r="K3" s="5" t="str">
        <f t="shared" ref="K3:K66" si="4">TEXT(J3,"mmm")</f>
        <v>Nov</v>
      </c>
      <c r="L3">
        <v>1686600749</v>
      </c>
      <c r="M3" s="11">
        <f t="shared" ref="M3:M66" si="5">((L3)/86400)+DATE(1970,1,1)</f>
        <v>45089.842002314814</v>
      </c>
      <c r="O3" s="7">
        <f t="shared" ref="O3:O66" si="6">IF(N3="", 0, N3)</f>
        <v>0</v>
      </c>
      <c r="P3" t="s">
        <v>20</v>
      </c>
      <c r="Q3" s="7" t="str">
        <f t="shared" ref="Q3:Q66" si="7">SUBSTITUTE(SUBSTITUTE(SUBSTITUTE(P3,"$",""),"%",""),"ñ","n")</f>
        <v xml:space="preserve">Great customer </v>
      </c>
    </row>
    <row r="4" spans="1:17">
      <c r="A4">
        <v>1327</v>
      </c>
      <c r="B4" t="s">
        <v>24</v>
      </c>
      <c r="C4" s="9" t="str">
        <f t="shared" si="0"/>
        <v>Renée Dupont</v>
      </c>
      <c r="D4" s="7" t="str">
        <f t="shared" si="1"/>
        <v>Renée Dupont</v>
      </c>
      <c r="E4">
        <v>35</v>
      </c>
      <c r="F4" s="7">
        <f t="shared" si="2"/>
        <v>35</v>
      </c>
      <c r="G4" t="s">
        <v>25</v>
      </c>
      <c r="H4" s="7" t="str">
        <f t="shared" si="3"/>
        <v>Japan</v>
      </c>
      <c r="I4" t="s">
        <v>26</v>
      </c>
      <c r="J4" s="7" t="str">
        <f>TEXT(
  IFERROR(
    DATEVALUE(SUBSTITUTE(SUBSTITUTE(TRIM(I4),"T"," "),"Z","")),
    IFERROR(
      DATE(
        RIGHT(TRIM(I4),4),
        MID(TRIM(I4),4,2),
        LEFT(TRIM(I4),2)
      ),
      DATE(
        VALUE(RIGHT(TRIM(I4),4)),
        MATCH(LEFT(TRIM(I4),FIND(" ",TRIM(I4))-1),
          {"January","February","March","April","May","June","July","August","September","October","November","December"},0),
        VALUE(MID(TRIM(I4),
          FIND(" ",TRIM(I4))+1,
          FIND(" ",TRIM(I4),FIND(" ",TRIM(I4))+1)-FIND(" ",TRIM(I4))-1))
      )
    )
  ),
"yyyy-mm-dd")</f>
        <v>2023-02-22</v>
      </c>
      <c r="K4" s="5" t="str">
        <f t="shared" si="4"/>
        <v>Feb</v>
      </c>
      <c r="L4">
        <v>1685272244</v>
      </c>
      <c r="M4" s="11">
        <f t="shared" si="5"/>
        <v>45074.465787037036</v>
      </c>
      <c r="O4" s="7">
        <f t="shared" si="6"/>
        <v>0</v>
      </c>
      <c r="P4" t="s">
        <v>27</v>
      </c>
      <c r="Q4" s="7" t="str">
        <f t="shared" si="7"/>
        <v xml:space="preserve">Holiday signup </v>
      </c>
    </row>
    <row r="5" spans="1:17">
      <c r="A5">
        <v>1542</v>
      </c>
      <c r="B5" t="s">
        <v>28</v>
      </c>
      <c r="C5" s="9" t="str">
        <f t="shared" si="0"/>
        <v>Maria Lopez</v>
      </c>
      <c r="D5" s="7" t="str">
        <f t="shared" si="1"/>
        <v>Maria Lopez</v>
      </c>
      <c r="F5" s="7">
        <f t="shared" si="2"/>
        <v>43</v>
      </c>
      <c r="G5" t="s">
        <v>29</v>
      </c>
      <c r="H5" s="7" t="str">
        <f t="shared" si="3"/>
        <v>United States</v>
      </c>
      <c r="I5" t="s">
        <v>30</v>
      </c>
      <c r="J5" s="7" t="str">
        <f>TEXT(
  IFERROR(
    DATEVALUE(SUBSTITUTE(SUBSTITUTE(TRIM(I5),"T"," "),"Z","")),
    IFERROR(
      DATE(
        RIGHT(TRIM(I5),4),
        MID(TRIM(I5),4,2),
        LEFT(TRIM(I5),2)
      ),
      DATE(
        VALUE(RIGHT(TRIM(I5),4)),
        MATCH(LEFT(TRIM(I5),FIND(" ",TRIM(I5))-1),
          {"January","February","March","April","May","June","July","August","September","October","November","December"},0),
        VALUE(MID(TRIM(I5),
          FIND(" ",TRIM(I5))+1,
          FIND(" ",TRIM(I5),FIND(" ",TRIM(I5))+1)-FIND(" ",TRIM(I5))-1))
      )
    )
  ),
"yyyy-mm-dd")</f>
        <v>2023-10-10</v>
      </c>
      <c r="K5" s="5" t="str">
        <f t="shared" si="4"/>
        <v>Oct</v>
      </c>
      <c r="L5">
        <v>1700354202</v>
      </c>
      <c r="M5" s="11">
        <f t="shared" si="5"/>
        <v>45249.02548611111</v>
      </c>
      <c r="O5" s="7">
        <f t="shared" si="6"/>
        <v>0</v>
      </c>
      <c r="P5" t="s">
        <v>27</v>
      </c>
      <c r="Q5" s="7" t="str">
        <f t="shared" si="7"/>
        <v xml:space="preserve">Holiday signup </v>
      </c>
    </row>
    <row r="6" spans="1:17">
      <c r="A6">
        <v>1394</v>
      </c>
      <c r="B6" t="s">
        <v>31</v>
      </c>
      <c r="C6" s="9" t="str">
        <f t="shared" si="0"/>
        <v>Renée Dupont</v>
      </c>
      <c r="D6" s="7" t="str">
        <f t="shared" si="1"/>
        <v xml:space="preserve"> Renée Dupont </v>
      </c>
      <c r="F6" s="7">
        <f t="shared" si="2"/>
        <v>43</v>
      </c>
      <c r="G6" t="s">
        <v>29</v>
      </c>
      <c r="H6" s="7" t="str">
        <f t="shared" si="3"/>
        <v>United States</v>
      </c>
      <c r="I6" t="s">
        <v>32</v>
      </c>
      <c r="J6" s="7" t="str">
        <f>TEXT(
  IFERROR(
    DATEVALUE(SUBSTITUTE(SUBSTITUTE(TRIM(I6),"T"," "),"Z","")),
    IFERROR(
      DATE(
        RIGHT(TRIM(I6),4),
        MID(TRIM(I6),4,2),
        LEFT(TRIM(I6),2)
      ),
      DATE(
        VALUE(RIGHT(TRIM(I6),4)),
        MATCH(LEFT(TRIM(I6),FIND(" ",TRIM(I6))-1),
          {"January","February","March","April","May","June","July","August","September","October","November","December"},0),
        VALUE(MID(TRIM(I6),
          FIND(" ",TRIM(I6))+1,
          FIND(" ",TRIM(I6),FIND(" ",TRIM(I6))+1)-FIND(" ",TRIM(I6))-1))
      )
    )
  ),
"yyyy-mm-dd")</f>
        <v>2023-04-30</v>
      </c>
      <c r="K6" s="5" t="str">
        <f t="shared" si="4"/>
        <v>Apr</v>
      </c>
      <c r="L6">
        <v>1685278919</v>
      </c>
      <c r="M6" s="11">
        <f t="shared" si="5"/>
        <v>45074.543043981481</v>
      </c>
      <c r="O6" s="7">
        <f t="shared" si="6"/>
        <v>0</v>
      </c>
      <c r="P6" t="s">
        <v>33</v>
      </c>
      <c r="Q6" s="7" t="str">
        <f t="shared" si="7"/>
        <v>Frequent buyer n</v>
      </c>
    </row>
    <row r="7" spans="1:17">
      <c r="A7">
        <v>1759</v>
      </c>
      <c r="B7" t="s">
        <v>34</v>
      </c>
      <c r="C7" s="9" t="str">
        <f t="shared" si="0"/>
        <v>Olivia Wilson</v>
      </c>
      <c r="D7" s="7" t="str">
        <f t="shared" si="1"/>
        <v xml:space="preserve"> Olivia Wilson </v>
      </c>
      <c r="E7">
        <v>62</v>
      </c>
      <c r="F7" s="7">
        <f t="shared" si="2"/>
        <v>62</v>
      </c>
      <c r="G7" t="s">
        <v>29</v>
      </c>
      <c r="H7" s="7" t="str">
        <f t="shared" si="3"/>
        <v>United States</v>
      </c>
      <c r="I7" t="s">
        <v>35</v>
      </c>
      <c r="J7" s="7" t="str">
        <f>TEXT(
  IFERROR(
    DATEVALUE(SUBSTITUTE(SUBSTITUTE(TRIM(I7),"T"," "),"Z","")),
    IFERROR(
      DATE(
        RIGHT(TRIM(I7),4),
        MID(TRIM(I7),4,2),
        LEFT(TRIM(I7),2)
      ),
      DATE(
        VALUE(RIGHT(TRIM(I7),4)),
        MATCH(LEFT(TRIM(I7),FIND(" ",TRIM(I7))-1),
          {"January","February","March","April","May","June","July","August","September","October","November","December"},0),
        VALUE(MID(TRIM(I7),
          FIND(" ",TRIM(I7))+1,
          FIND(" ",TRIM(I7),FIND(" ",TRIM(I7))+1)-FIND(" ",TRIM(I7))-1))
      )
    )
  ),
"yyyy-mm-dd")</f>
        <v>2023-11-08</v>
      </c>
      <c r="K7" s="5" t="str">
        <f t="shared" si="4"/>
        <v>Nov</v>
      </c>
      <c r="L7">
        <v>1690446760</v>
      </c>
      <c r="M7" s="11">
        <f t="shared" si="5"/>
        <v>45134.35601851852</v>
      </c>
      <c r="N7">
        <v>1096.4000000000001</v>
      </c>
      <c r="O7" s="7">
        <f t="shared" si="6"/>
        <v>1096.4000000000001</v>
      </c>
      <c r="P7" t="s">
        <v>36</v>
      </c>
      <c r="Q7" s="7" t="str">
        <f t="shared" si="7"/>
        <v>Regular shopper</v>
      </c>
    </row>
    <row r="8" spans="1:17">
      <c r="A8">
        <v>1778</v>
      </c>
      <c r="B8" t="s">
        <v>37</v>
      </c>
      <c r="C8" s="9" t="str">
        <f t="shared" si="0"/>
        <v>Akira Tanaka</v>
      </c>
      <c r="D8" s="7" t="str">
        <f t="shared" si="1"/>
        <v>Akira Tanaka</v>
      </c>
      <c r="E8">
        <v>62</v>
      </c>
      <c r="F8" s="7">
        <f t="shared" si="2"/>
        <v>62</v>
      </c>
      <c r="G8" t="s">
        <v>38</v>
      </c>
      <c r="H8" s="7" t="str">
        <f t="shared" si="3"/>
        <v>Spain</v>
      </c>
      <c r="I8" t="s">
        <v>39</v>
      </c>
      <c r="J8" s="7" t="str">
        <f>TEXT(
  IFERROR(
    DATEVALUE(SUBSTITUTE(SUBSTITUTE(TRIM(I8),"T"," "),"Z","")),
    IFERROR(
      DATE(
        RIGHT(TRIM(I8),4),
        MID(TRIM(I8),4,2),
        LEFT(TRIM(I8),2)
      ),
      DATE(
        VALUE(RIGHT(TRIM(I8),4)),
        MATCH(LEFT(TRIM(I8),FIND(" ",TRIM(I8))-1),
          {"January","February","March","April","May","June","July","August","September","October","November","December"},0),
        VALUE(MID(TRIM(I8),
          FIND(" ",TRIM(I8))+1,
          FIND(" ",TRIM(I8),FIND(" ",TRIM(I8))+1)-FIND(" ",TRIM(I8))-1))
      )
    )
  ),
"yyyy-mm-dd")</f>
        <v>2023-12-17</v>
      </c>
      <c r="K8" s="5" t="str">
        <f t="shared" si="4"/>
        <v>Dec</v>
      </c>
      <c r="L8">
        <v>1700805417</v>
      </c>
      <c r="M8" s="11">
        <f t="shared" si="5"/>
        <v>45254.247881944444</v>
      </c>
      <c r="N8">
        <v>1154.79</v>
      </c>
      <c r="O8" s="7">
        <f t="shared" si="6"/>
        <v>1154.79</v>
      </c>
      <c r="P8" t="s">
        <v>40</v>
      </c>
      <c r="Q8" s="7" t="str">
        <f t="shared" si="7"/>
        <v xml:space="preserve">VIP client </v>
      </c>
    </row>
    <row r="9" spans="1:17">
      <c r="A9">
        <v>1066</v>
      </c>
      <c r="B9" t="s">
        <v>41</v>
      </c>
      <c r="C9" s="9" t="str">
        <f t="shared" si="0"/>
        <v>Lucas Silva</v>
      </c>
      <c r="D9" s="7" t="str">
        <f t="shared" si="1"/>
        <v>Lucas Silva</v>
      </c>
      <c r="E9">
        <v>31</v>
      </c>
      <c r="F9" s="7">
        <f t="shared" si="2"/>
        <v>31</v>
      </c>
      <c r="G9" t="s">
        <v>25</v>
      </c>
      <c r="H9" s="7" t="str">
        <f t="shared" si="3"/>
        <v>Japan</v>
      </c>
      <c r="I9" t="s">
        <v>42</v>
      </c>
      <c r="J9" s="7" t="str">
        <f>TEXT(
  IFERROR(
    DATEVALUE(SUBSTITUTE(SUBSTITUTE(TRIM(I9),"T"," "),"Z","")),
    IFERROR(
      DATE(
        RIGHT(TRIM(I9),4),
        MID(TRIM(I9),4,2),
        LEFT(TRIM(I9),2)
      ),
      DATE(
        VALUE(RIGHT(TRIM(I9),4)),
        MATCH(LEFT(TRIM(I9),FIND(" ",TRIM(I9))-1),
          {"January","February","March","April","May","June","July","August","September","October","November","December"},0),
        VALUE(MID(TRIM(I9),
          FIND(" ",TRIM(I9))+1,
          FIND(" ",TRIM(I9),FIND(" ",TRIM(I9))+1)-FIND(" ",TRIM(I9))-1))
      )
    )
  ),
"yyyy-mm-dd")</f>
        <v>2023-04-19</v>
      </c>
      <c r="K9" s="5" t="str">
        <f t="shared" si="4"/>
        <v>Apr</v>
      </c>
      <c r="L9">
        <v>1685799203</v>
      </c>
      <c r="M9" s="11">
        <f t="shared" si="5"/>
        <v>45080.564849537041</v>
      </c>
      <c r="O9" s="7">
        <f t="shared" si="6"/>
        <v>0</v>
      </c>
      <c r="P9" t="s">
        <v>33</v>
      </c>
      <c r="Q9" s="7" t="str">
        <f t="shared" si="7"/>
        <v>Frequent buyer n</v>
      </c>
    </row>
    <row r="10" spans="1:17">
      <c r="A10">
        <v>1543</v>
      </c>
      <c r="B10" t="s">
        <v>43</v>
      </c>
      <c r="C10" s="9" t="str">
        <f t="shared" si="0"/>
        <v>Carlos García</v>
      </c>
      <c r="D10" s="7" t="str">
        <f t="shared" si="1"/>
        <v xml:space="preserve"> Carlos García </v>
      </c>
      <c r="F10" s="7">
        <f t="shared" si="2"/>
        <v>43</v>
      </c>
      <c r="G10" t="s">
        <v>44</v>
      </c>
      <c r="H10" s="7" t="str">
        <f t="shared" si="3"/>
        <v>UAE</v>
      </c>
      <c r="I10" t="s">
        <v>45</v>
      </c>
      <c r="J10" s="7" t="str">
        <f>TEXT(
  IFERROR(
    DATEVALUE(SUBSTITUTE(SUBSTITUTE(TRIM(I10),"T"," "),"Z","")),
    IFERROR(
      DATE(
        RIGHT(TRIM(I10),4),
        MID(TRIM(I10),4,2),
        LEFT(TRIM(I10),2)
      ),
      DATE(
        VALUE(RIGHT(TRIM(I10),4)),
        MATCH(LEFT(TRIM(I10),FIND(" ",TRIM(I10))-1),
          {"January","February","March","April","May","June","July","August","September","October","November","December"},0),
        VALUE(MID(TRIM(I10),
          FIND(" ",TRIM(I10))+1,
          FIND(" ",TRIM(I10),FIND(" ",TRIM(I10))+1)-FIND(" ",TRIM(I10))-1))
      )
    )
  ),
"yyyy-mm-dd")</f>
        <v>2023-10-26</v>
      </c>
      <c r="K10" s="5" t="str">
        <f t="shared" si="4"/>
        <v>Oct</v>
      </c>
      <c r="L10">
        <v>1684670585</v>
      </c>
      <c r="M10" s="11">
        <f t="shared" si="5"/>
        <v>45067.502141203702</v>
      </c>
      <c r="N10">
        <v>336.79</v>
      </c>
      <c r="O10" s="7">
        <f t="shared" si="6"/>
        <v>336.79</v>
      </c>
      <c r="P10" t="s">
        <v>46</v>
      </c>
      <c r="Q10" s="7" t="str">
        <f t="shared" si="7"/>
        <v>Corporate account</v>
      </c>
    </row>
    <row r="11" spans="1:17">
      <c r="A11">
        <v>2011</v>
      </c>
      <c r="B11" t="s">
        <v>47</v>
      </c>
      <c r="C11" s="9" t="str">
        <f t="shared" si="0"/>
        <v>Li Wei</v>
      </c>
      <c r="D11" s="7" t="str">
        <f t="shared" si="1"/>
        <v>Li Wei</v>
      </c>
      <c r="E11">
        <v>27</v>
      </c>
      <c r="F11" s="7">
        <f t="shared" si="2"/>
        <v>27</v>
      </c>
      <c r="G11" t="s">
        <v>48</v>
      </c>
      <c r="H11" s="7" t="str">
        <f t="shared" si="3"/>
        <v>France</v>
      </c>
      <c r="I11" t="s">
        <v>49</v>
      </c>
      <c r="J11" s="7" t="str">
        <f>TEXT(
  IFERROR(
    DATEVALUE(SUBSTITUTE(SUBSTITUTE(TRIM(I11),"T"," "),"Z","")),
    IFERROR(
      DATE(
        RIGHT(TRIM(I11),4),
        MID(TRIM(I11),4,2),
        LEFT(TRIM(I11),2)
      ),
      DATE(
        VALUE(RIGHT(TRIM(I11),4)),
        MATCH(LEFT(TRIM(I11),FIND(" ",TRIM(I11))-1),
          {"January","February","March","April","May","June","July","August","September","October","November","December"},0),
        VALUE(MID(TRIM(I11),
          FIND(" ",TRIM(I11))+1,
          FIND(" ",TRIM(I11),FIND(" ",TRIM(I11))+1)-FIND(" ",TRIM(I11))-1))
      )
    )
  ),
"yyyy-mm-dd")</f>
        <v>2023-12-15</v>
      </c>
      <c r="K11" s="5" t="str">
        <f t="shared" si="4"/>
        <v>Dec</v>
      </c>
      <c r="L11">
        <v>1692536166</v>
      </c>
      <c r="M11" s="11">
        <f t="shared" si="5"/>
        <v>45158.538958333331</v>
      </c>
      <c r="O11" s="7">
        <f t="shared" si="6"/>
        <v>0</v>
      </c>
      <c r="P11" t="s">
        <v>27</v>
      </c>
      <c r="Q11" s="7" t="str">
        <f t="shared" si="7"/>
        <v xml:space="preserve">Holiday signup </v>
      </c>
    </row>
    <row r="12" spans="1:17">
      <c r="A12">
        <v>1959</v>
      </c>
      <c r="B12" t="s">
        <v>50</v>
      </c>
      <c r="C12" s="9" t="str">
        <f t="shared" si="0"/>
        <v>Ahmed Hassan</v>
      </c>
      <c r="D12" s="7" t="str">
        <f t="shared" si="1"/>
        <v xml:space="preserve"> Ahmed Hassan </v>
      </c>
      <c r="E12">
        <v>18</v>
      </c>
      <c r="F12" s="7">
        <f t="shared" si="2"/>
        <v>18</v>
      </c>
      <c r="G12" t="s">
        <v>18</v>
      </c>
      <c r="H12" s="7" t="str">
        <f t="shared" si="3"/>
        <v>United Kingdom</v>
      </c>
      <c r="I12" t="s">
        <v>51</v>
      </c>
      <c r="J12" s="7" t="str">
        <f>TEXT(
  IFERROR(
    DATEVALUE(SUBSTITUTE(SUBSTITUTE(TRIM(I12),"T"," "),"Z","")),
    IFERROR(
      DATE(
        RIGHT(TRIM(I12),4),
        MID(TRIM(I12),4,2),
        LEFT(TRIM(I12),2)
      ),
      DATE(
        VALUE(RIGHT(TRIM(I12),4)),
        MATCH(LEFT(TRIM(I12),FIND(" ",TRIM(I12))-1),
          {"January","February","March","April","May","June","July","August","September","October","November","December"},0),
        VALUE(MID(TRIM(I12),
          FIND(" ",TRIM(I12))+1,
          FIND(" ",TRIM(I12),FIND(" ",TRIM(I12))+1)-FIND(" ",TRIM(I12))-1))
      )
    )
  ),
"yyyy-mm-dd")</f>
        <v>2023-12-16</v>
      </c>
      <c r="K12" s="5" t="str">
        <f t="shared" si="4"/>
        <v>Dec</v>
      </c>
      <c r="L12">
        <v>1697719278</v>
      </c>
      <c r="M12" s="11">
        <f t="shared" si="5"/>
        <v>45218.528680555552</v>
      </c>
      <c r="O12" s="7">
        <f t="shared" si="6"/>
        <v>0</v>
      </c>
      <c r="P12" t="s">
        <v>52</v>
      </c>
      <c r="Q12" s="7" t="str">
        <f t="shared" si="7"/>
        <v xml:space="preserve">Prefers email </v>
      </c>
    </row>
    <row r="13" spans="1:17">
      <c r="A13">
        <v>1602</v>
      </c>
      <c r="B13" t="s">
        <v>53</v>
      </c>
      <c r="C13" s="9" t="str">
        <f t="shared" si="0"/>
        <v>Sofia Rossi</v>
      </c>
      <c r="D13" s="7" t="str">
        <f t="shared" si="1"/>
        <v xml:space="preserve"> Sofia Rossi </v>
      </c>
      <c r="E13">
        <v>64</v>
      </c>
      <c r="F13" s="7">
        <f t="shared" si="2"/>
        <v>64</v>
      </c>
      <c r="G13" t="s">
        <v>54</v>
      </c>
      <c r="H13" s="7" t="str">
        <f t="shared" si="3"/>
        <v>Brazil</v>
      </c>
      <c r="I13" t="s">
        <v>55</v>
      </c>
      <c r="J13" s="7" t="str">
        <f>TEXT(
  IFERROR(
    DATEVALUE(SUBSTITUTE(SUBSTITUTE(TRIM(I13),"T"," "),"Z","")),
    IFERROR(
      DATE(
        RIGHT(TRIM(I13),4),
        MID(TRIM(I13),4,2),
        LEFT(TRIM(I13),2)
      ),
      DATE(
        VALUE(RIGHT(TRIM(I13),4)),
        MATCH(LEFT(TRIM(I13),FIND(" ",TRIM(I13))-1),
          {"January","February","March","April","May","June","July","August","September","October","November","December"},0),
        VALUE(MID(TRIM(I13),
          FIND(" ",TRIM(I13))+1,
          FIND(" ",TRIM(I13),FIND(" ",TRIM(I13))+1)-FIND(" ",TRIM(I13))-1))
      )
    )
  ),
"yyyy-mm-dd")</f>
        <v>2023-09-14</v>
      </c>
      <c r="K13" s="5" t="str">
        <f t="shared" si="4"/>
        <v>Sep</v>
      </c>
      <c r="L13">
        <v>1689558970</v>
      </c>
      <c r="M13" s="11">
        <f t="shared" si="5"/>
        <v>45124.080671296295</v>
      </c>
      <c r="O13" s="7">
        <f t="shared" si="6"/>
        <v>0</v>
      </c>
      <c r="P13" t="s">
        <v>46</v>
      </c>
      <c r="Q13" s="7" t="str">
        <f t="shared" si="7"/>
        <v>Corporate account</v>
      </c>
    </row>
    <row r="14" spans="1:17">
      <c r="A14">
        <v>1408</v>
      </c>
      <c r="B14" t="s">
        <v>56</v>
      </c>
      <c r="C14" s="9" t="str">
        <f t="shared" si="0"/>
        <v>Carlos García</v>
      </c>
      <c r="D14" s="7" t="str">
        <f t="shared" si="1"/>
        <v>Carlos García</v>
      </c>
      <c r="E14">
        <v>52</v>
      </c>
      <c r="F14" s="7">
        <f t="shared" si="2"/>
        <v>52</v>
      </c>
      <c r="G14" t="s">
        <v>29</v>
      </c>
      <c r="H14" s="7" t="str">
        <f t="shared" si="3"/>
        <v>United States</v>
      </c>
      <c r="I14" t="s">
        <v>57</v>
      </c>
      <c r="J14" s="7" t="str">
        <f>TEXT(
  IFERROR(
    DATEVALUE(SUBSTITUTE(SUBSTITUTE(TRIM(I14),"T"," "),"Z","")),
    IFERROR(
      DATE(
        RIGHT(TRIM(I14),4),
        MID(TRIM(I14),4,2),
        LEFT(TRIM(I14),2)
      ),
      DATE(
        VALUE(RIGHT(TRIM(I14),4)),
        MATCH(LEFT(TRIM(I14),FIND(" ",TRIM(I14))-1),
          {"January","February","March","April","May","June","July","August","September","October","November","December"},0),
        VALUE(MID(TRIM(I14),
          FIND(" ",TRIM(I14))+1,
          FIND(" ",TRIM(I14),FIND(" ",TRIM(I14))+1)-FIND(" ",TRIM(I14))-1))
      )
    )
  ),
"yyyy-mm-dd")</f>
        <v>2023-03-11</v>
      </c>
      <c r="K14" s="5" t="str">
        <f t="shared" si="4"/>
        <v>Mar</v>
      </c>
      <c r="L14">
        <v>1688918887</v>
      </c>
      <c r="M14" s="11">
        <f t="shared" si="5"/>
        <v>45116.672303240739</v>
      </c>
      <c r="O14" s="7">
        <f t="shared" si="6"/>
        <v>0</v>
      </c>
      <c r="P14" t="s">
        <v>58</v>
      </c>
      <c r="Q14" s="7" t="str">
        <f t="shared" si="7"/>
        <v>Student account</v>
      </c>
    </row>
    <row r="15" spans="1:17">
      <c r="A15">
        <v>1491</v>
      </c>
      <c r="B15" t="s">
        <v>59</v>
      </c>
      <c r="C15" s="9" t="str">
        <f t="shared" si="0"/>
        <v>Maria Lopez</v>
      </c>
      <c r="D15" s="7" t="str">
        <f t="shared" si="1"/>
        <v xml:space="preserve"> Maria Lopez </v>
      </c>
      <c r="E15">
        <v>54</v>
      </c>
      <c r="F15" s="7">
        <f t="shared" si="2"/>
        <v>54</v>
      </c>
      <c r="G15" t="s">
        <v>60</v>
      </c>
      <c r="H15" s="7" t="str">
        <f t="shared" si="3"/>
        <v>Egypt</v>
      </c>
      <c r="I15" t="s">
        <v>61</v>
      </c>
      <c r="J15" s="7" t="str">
        <f>TEXT(
  IFERROR(
    DATEVALUE(SUBSTITUTE(SUBSTITUTE(TRIM(I15),"T"," "),"Z","")),
    IFERROR(
      DATE(
        RIGHT(TRIM(I15),4),
        MID(TRIM(I15),4,2),
        LEFT(TRIM(I15),2)
      ),
      DATE(
        VALUE(RIGHT(TRIM(I15),4)),
        MATCH(LEFT(TRIM(I15),FIND(" ",TRIM(I15))-1),
          {"January","February","March","April","May","June","July","August","September","October","November","December"},0),
        VALUE(MID(TRIM(I15),
          FIND(" ",TRIM(I15))+1,
          FIND(" ",TRIM(I15),FIND(" ",TRIM(I15))+1)-FIND(" ",TRIM(I15))-1))
      )
    )
  ),
"yyyy-mm-dd")</f>
        <v>2023-02-05</v>
      </c>
      <c r="K15" s="5" t="str">
        <f t="shared" si="4"/>
        <v>Feb</v>
      </c>
      <c r="L15">
        <v>1698221139</v>
      </c>
      <c r="M15" s="11">
        <f t="shared" si="5"/>
        <v>45224.337256944447</v>
      </c>
      <c r="O15" s="7">
        <f t="shared" si="6"/>
        <v>0</v>
      </c>
      <c r="P15" t="s">
        <v>46</v>
      </c>
      <c r="Q15" s="7" t="str">
        <f t="shared" si="7"/>
        <v>Corporate account</v>
      </c>
    </row>
    <row r="16" spans="1:17">
      <c r="A16">
        <v>1339</v>
      </c>
      <c r="B16" t="s">
        <v>37</v>
      </c>
      <c r="C16" s="9" t="str">
        <f t="shared" si="0"/>
        <v>Akira Tanaka</v>
      </c>
      <c r="D16" s="7" t="str">
        <f t="shared" si="1"/>
        <v>Akira Tanaka</v>
      </c>
      <c r="E16">
        <v>56</v>
      </c>
      <c r="F16" s="7">
        <f t="shared" si="2"/>
        <v>56</v>
      </c>
      <c r="G16" t="s">
        <v>62</v>
      </c>
      <c r="H16" s="7" t="str">
        <f t="shared" si="3"/>
        <v>Ireland</v>
      </c>
      <c r="I16" t="s">
        <v>63</v>
      </c>
      <c r="J16" s="7" t="str">
        <f>TEXT(
  IFERROR(
    DATEVALUE(SUBSTITUTE(SUBSTITUTE(TRIM(I16),"T"," "),"Z","")),
    IFERROR(
      DATE(
        RIGHT(TRIM(I16),4),
        MID(TRIM(I16),4,2),
        LEFT(TRIM(I16),2)
      ),
      DATE(
        VALUE(RIGHT(TRIM(I16),4)),
        MATCH(LEFT(TRIM(I16),FIND(" ",TRIM(I16))-1),
          {"January","February","March","April","May","June","July","August","September","October","November","December"},0),
        VALUE(MID(TRIM(I16),
          FIND(" ",TRIM(I16))+1,
          FIND(" ",TRIM(I16),FIND(" ",TRIM(I16))+1)-FIND(" ",TRIM(I16))-1))
      )
    )
  ),
"yyyy-mm-dd")</f>
        <v>2023-12-20</v>
      </c>
      <c r="K16" s="5" t="str">
        <f t="shared" si="4"/>
        <v>Dec</v>
      </c>
      <c r="L16">
        <v>1696446597</v>
      </c>
      <c r="M16" s="11">
        <f t="shared" si="5"/>
        <v>45203.798576388886</v>
      </c>
      <c r="O16" s="7">
        <f t="shared" si="6"/>
        <v>0</v>
      </c>
      <c r="P16" t="s">
        <v>36</v>
      </c>
      <c r="Q16" s="7" t="str">
        <f t="shared" si="7"/>
        <v>Regular shopper</v>
      </c>
    </row>
    <row r="17" spans="1:17">
      <c r="A17">
        <v>2060</v>
      </c>
      <c r="B17" t="s">
        <v>64</v>
      </c>
      <c r="C17" s="9" t="str">
        <f t="shared" si="0"/>
        <v>Ethan Clark</v>
      </c>
      <c r="D17" s="7" t="str">
        <f t="shared" si="1"/>
        <v xml:space="preserve"> Ethan Clark </v>
      </c>
      <c r="F17" s="7">
        <f t="shared" si="2"/>
        <v>43</v>
      </c>
      <c r="G17" t="s">
        <v>29</v>
      </c>
      <c r="H17" s="7" t="str">
        <f t="shared" si="3"/>
        <v>United States</v>
      </c>
      <c r="I17" t="s">
        <v>65</v>
      </c>
      <c r="J17" s="7" t="str">
        <f>TEXT(
  IFERROR(
    DATEVALUE(SUBSTITUTE(SUBSTITUTE(TRIM(I17),"T"," "),"Z","")),
    IFERROR(
      DATE(
        RIGHT(TRIM(I17),4),
        MID(TRIM(I17),4,2),
        LEFT(TRIM(I17),2)
      ),
      DATE(
        VALUE(RIGHT(TRIM(I17),4)),
        MATCH(LEFT(TRIM(I17),FIND(" ",TRIM(I17))-1),
          {"January","February","March","April","May","June","July","August","September","October","November","December"},0),
        VALUE(MID(TRIM(I17),
          FIND(" ",TRIM(I17))+1,
          FIND(" ",TRIM(I17),FIND(" ",TRIM(I17))+1)-FIND(" ",TRIM(I17))-1))
      )
    )
  ),
"yyyy-mm-dd")</f>
        <v>2023-10-29</v>
      </c>
      <c r="K17" s="5" t="str">
        <f t="shared" si="4"/>
        <v>Oct</v>
      </c>
      <c r="L17">
        <v>1680245369</v>
      </c>
      <c r="M17" s="11">
        <f t="shared" si="5"/>
        <v>45016.284363425926</v>
      </c>
      <c r="N17">
        <v>886.78</v>
      </c>
      <c r="O17" s="7">
        <f t="shared" si="6"/>
        <v>886.78</v>
      </c>
      <c r="P17" t="s">
        <v>52</v>
      </c>
      <c r="Q17" s="7" t="str">
        <f t="shared" si="7"/>
        <v xml:space="preserve">Prefers email </v>
      </c>
    </row>
    <row r="18" spans="1:17">
      <c r="A18">
        <v>1121</v>
      </c>
      <c r="B18" t="s">
        <v>66</v>
      </c>
      <c r="C18" s="9" t="str">
        <f t="shared" si="0"/>
        <v>Emily Davis</v>
      </c>
      <c r="D18" s="7" t="str">
        <f t="shared" si="1"/>
        <v xml:space="preserve"> Emily Davis </v>
      </c>
      <c r="E18">
        <v>20</v>
      </c>
      <c r="F18" s="7">
        <f t="shared" si="2"/>
        <v>20</v>
      </c>
      <c r="G18" t="s">
        <v>67</v>
      </c>
      <c r="H18" s="7" t="str">
        <f t="shared" si="3"/>
        <v>Sweden</v>
      </c>
      <c r="I18" t="s">
        <v>68</v>
      </c>
      <c r="J18" s="7" t="str">
        <f>TEXT(
  IFERROR(
    DATEVALUE(SUBSTITUTE(SUBSTITUTE(TRIM(I18),"T"," "),"Z","")),
    IFERROR(
      DATE(
        RIGHT(TRIM(I18),4),
        MID(TRIM(I18),4,2),
        LEFT(TRIM(I18),2)
      ),
      DATE(
        VALUE(RIGHT(TRIM(I18),4)),
        MATCH(LEFT(TRIM(I18),FIND(" ",TRIM(I18))-1),
          {"January","February","March","April","May","June","July","August","September","October","November","December"},0),
        VALUE(MID(TRIM(I18),
          FIND(" ",TRIM(I18))+1,
          FIND(" ",TRIM(I18),FIND(" ",TRIM(I18))+1)-FIND(" ",TRIM(I18))-1))
      )
    )
  ),
"yyyy-mm-dd")</f>
        <v>2023-02-05</v>
      </c>
      <c r="K18" s="5" t="str">
        <f t="shared" si="4"/>
        <v>Feb</v>
      </c>
      <c r="L18">
        <v>1694971169</v>
      </c>
      <c r="M18" s="11">
        <f t="shared" si="5"/>
        <v>45186.721863425926</v>
      </c>
      <c r="N18">
        <v>733.27</v>
      </c>
      <c r="O18" s="7">
        <f t="shared" si="6"/>
        <v>733.27</v>
      </c>
      <c r="P18" t="s">
        <v>27</v>
      </c>
      <c r="Q18" s="7" t="str">
        <f t="shared" si="7"/>
        <v xml:space="preserve">Holiday signup </v>
      </c>
    </row>
    <row r="19" spans="1:17">
      <c r="A19">
        <v>2181</v>
      </c>
      <c r="B19" t="s">
        <v>69</v>
      </c>
      <c r="C19" s="9" t="str">
        <f t="shared" si="0"/>
        <v>Isabella Martinez</v>
      </c>
      <c r="D19" s="7" t="str">
        <f t="shared" si="1"/>
        <v xml:space="preserve"> Isabella Martinez </v>
      </c>
      <c r="E19">
        <v>48</v>
      </c>
      <c r="F19" s="7">
        <f t="shared" si="2"/>
        <v>48</v>
      </c>
      <c r="G19" t="s">
        <v>18</v>
      </c>
      <c r="H19" s="7" t="str">
        <f t="shared" si="3"/>
        <v>United Kingdom</v>
      </c>
      <c r="I19" t="s">
        <v>70</v>
      </c>
      <c r="J19" s="7" t="str">
        <f>TEXT(
  IFERROR(
    DATEVALUE(SUBSTITUTE(SUBSTITUTE(TRIM(I19),"T"," "),"Z","")),
    IFERROR(
      DATE(
        RIGHT(TRIM(I19),4),
        MID(TRIM(I19),4,2),
        LEFT(TRIM(I19),2)
      ),
      DATE(
        VALUE(RIGHT(TRIM(I19),4)),
        MATCH(LEFT(TRIM(I19),FIND(" ",TRIM(I19))-1),
          {"January","February","March","April","May","June","July","August","September","October","November","December"},0),
        VALUE(MID(TRIM(I19),
          FIND(" ",TRIM(I19))+1,
          FIND(" ",TRIM(I19),FIND(" ",TRIM(I19))+1)-FIND(" ",TRIM(I19))-1))
      )
    )
  ),
"yyyy-mm-dd")</f>
        <v>2023-02-19</v>
      </c>
      <c r="K19" s="5" t="str">
        <f t="shared" si="4"/>
        <v>Feb</v>
      </c>
      <c r="L19">
        <v>1684412253</v>
      </c>
      <c r="M19" s="11">
        <f t="shared" si="5"/>
        <v>45064.512187500004</v>
      </c>
      <c r="O19" s="7">
        <f t="shared" si="6"/>
        <v>0</v>
      </c>
      <c r="P19" t="s">
        <v>20</v>
      </c>
      <c r="Q19" s="7" t="str">
        <f t="shared" si="7"/>
        <v xml:space="preserve">Great customer </v>
      </c>
    </row>
    <row r="20" spans="1:17">
      <c r="A20">
        <v>1202</v>
      </c>
      <c r="B20" t="s">
        <v>28</v>
      </c>
      <c r="C20" s="9" t="str">
        <f t="shared" si="0"/>
        <v>Maria Lopez</v>
      </c>
      <c r="D20" s="7" t="str">
        <f t="shared" si="1"/>
        <v>Maria Lopez</v>
      </c>
      <c r="E20">
        <v>39</v>
      </c>
      <c r="F20" s="7">
        <f t="shared" si="2"/>
        <v>39</v>
      </c>
      <c r="G20" t="s">
        <v>22</v>
      </c>
      <c r="H20" s="7" t="str">
        <f t="shared" si="3"/>
        <v>Germany</v>
      </c>
      <c r="I20" t="s">
        <v>71</v>
      </c>
      <c r="J20" s="7" t="str">
        <f>TEXT(
  IFERROR(
    DATEVALUE(SUBSTITUTE(SUBSTITUTE(TRIM(I20),"T"," "),"Z","")),
    IFERROR(
      DATE(
        RIGHT(TRIM(I20),4),
        MID(TRIM(I20),4,2),
        LEFT(TRIM(I20),2)
      ),
      DATE(
        VALUE(RIGHT(TRIM(I20),4)),
        MATCH(LEFT(TRIM(I20),FIND(" ",TRIM(I20))-1),
          {"January","February","March","April","May","June","July","August","September","October","November","December"},0),
        VALUE(MID(TRIM(I20),
          FIND(" ",TRIM(I20))+1,
          FIND(" ",TRIM(I20),FIND(" ",TRIM(I20))+1)-FIND(" ",TRIM(I20))-1))
      )
    )
  ),
"yyyy-mm-dd")</f>
        <v>2023-04-08</v>
      </c>
      <c r="K20" s="5" t="str">
        <f t="shared" si="4"/>
        <v>Apr</v>
      </c>
      <c r="L20">
        <v>1687576972</v>
      </c>
      <c r="M20" s="11">
        <f t="shared" si="5"/>
        <v>45101.140879629631</v>
      </c>
      <c r="N20">
        <v>218.87</v>
      </c>
      <c r="O20" s="7">
        <f t="shared" si="6"/>
        <v>218.87</v>
      </c>
      <c r="P20" t="s">
        <v>58</v>
      </c>
      <c r="Q20" s="7" t="str">
        <f t="shared" si="7"/>
        <v>Student account</v>
      </c>
    </row>
    <row r="21" spans="1:17">
      <c r="A21">
        <v>1948</v>
      </c>
      <c r="B21" t="s">
        <v>72</v>
      </c>
      <c r="C21" s="9" t="str">
        <f t="shared" si="0"/>
        <v>Emily Davis</v>
      </c>
      <c r="D21" s="7" t="str">
        <f t="shared" si="1"/>
        <v>Emily Davis</v>
      </c>
      <c r="E21">
        <v>46</v>
      </c>
      <c r="F21" s="7">
        <f t="shared" si="2"/>
        <v>46</v>
      </c>
      <c r="G21" t="s">
        <v>18</v>
      </c>
      <c r="H21" s="7" t="str">
        <f t="shared" si="3"/>
        <v>United Kingdom</v>
      </c>
      <c r="I21" t="s">
        <v>73</v>
      </c>
      <c r="J21" s="7" t="str">
        <f>TEXT(
  IFERROR(
    DATEVALUE(SUBSTITUTE(SUBSTITUTE(TRIM(I21),"T"," "),"Z","")),
    IFERROR(
      DATE(
        RIGHT(TRIM(I21),4),
        MID(TRIM(I21),4,2),
        LEFT(TRIM(I21),2)
      ),
      DATE(
        VALUE(RIGHT(TRIM(I21),4)),
        MATCH(LEFT(TRIM(I21),FIND(" ",TRIM(I21))-1),
          {"January","February","March","April","May","June","July","August","September","October","November","December"},0),
        VALUE(MID(TRIM(I21),
          FIND(" ",TRIM(I21))+1,
          FIND(" ",TRIM(I21),FIND(" ",TRIM(I21))+1)-FIND(" ",TRIM(I21))-1))
      )
    )
  ),
"yyyy-mm-dd")</f>
        <v>2023-01-26</v>
      </c>
      <c r="K21" s="5" t="str">
        <f t="shared" si="4"/>
        <v>Jan</v>
      </c>
      <c r="L21">
        <v>1700576430</v>
      </c>
      <c r="M21" s="11">
        <f t="shared" si="5"/>
        <v>45251.59756944445</v>
      </c>
      <c r="N21">
        <v>31.99</v>
      </c>
      <c r="O21" s="7">
        <f t="shared" si="6"/>
        <v>31.99</v>
      </c>
      <c r="P21" t="s">
        <v>40</v>
      </c>
      <c r="Q21" s="7" t="str">
        <f t="shared" si="7"/>
        <v xml:space="preserve">VIP client </v>
      </c>
    </row>
    <row r="22" spans="1:17">
      <c r="A22">
        <v>1341</v>
      </c>
      <c r="B22" t="s">
        <v>74</v>
      </c>
      <c r="C22" s="9" t="str">
        <f t="shared" si="0"/>
        <v>Sofia Rossi</v>
      </c>
      <c r="D22" s="7" t="str">
        <f t="shared" si="1"/>
        <v>Sofia Rossi</v>
      </c>
      <c r="E22">
        <v>31</v>
      </c>
      <c r="F22" s="7">
        <f t="shared" si="2"/>
        <v>31</v>
      </c>
      <c r="G22" t="s">
        <v>48</v>
      </c>
      <c r="H22" s="7" t="str">
        <f t="shared" si="3"/>
        <v>France</v>
      </c>
      <c r="I22" t="s">
        <v>75</v>
      </c>
      <c r="J22" s="7" t="str">
        <f>TEXT(
  IFERROR(
    DATEVALUE(SUBSTITUTE(SUBSTITUTE(TRIM(I22),"T"," "),"Z","")),
    IFERROR(
      DATE(
        RIGHT(TRIM(I22),4),
        MID(TRIM(I22),4,2),
        LEFT(TRIM(I22),2)
      ),
      DATE(
        VALUE(RIGHT(TRIM(I22),4)),
        MATCH(LEFT(TRIM(I22),FIND(" ",TRIM(I22))-1),
          {"January","February","March","April","May","June","July","August","September","October","November","December"},0),
        VALUE(MID(TRIM(I22),
          FIND(" ",TRIM(I22))+1,
          FIND(" ",TRIM(I22),FIND(" ",TRIM(I22))+1)-FIND(" ",TRIM(I22))-1))
      )
    )
  ),
"yyyy-mm-dd")</f>
        <v>2023-07-14</v>
      </c>
      <c r="K22" s="5" t="str">
        <f t="shared" si="4"/>
        <v>Jul</v>
      </c>
      <c r="L22">
        <v>1685624380</v>
      </c>
      <c r="M22" s="11">
        <f t="shared" si="5"/>
        <v>45078.541435185187</v>
      </c>
      <c r="O22" s="7">
        <f t="shared" si="6"/>
        <v>0</v>
      </c>
      <c r="P22" t="s">
        <v>58</v>
      </c>
      <c r="Q22" s="7" t="str">
        <f t="shared" si="7"/>
        <v>Student account</v>
      </c>
    </row>
    <row r="23" spans="1:17">
      <c r="A23">
        <v>1867</v>
      </c>
      <c r="B23" t="s">
        <v>24</v>
      </c>
      <c r="C23" s="9" t="str">
        <f t="shared" si="0"/>
        <v>Renée Dupont</v>
      </c>
      <c r="D23" s="7" t="str">
        <f t="shared" si="1"/>
        <v>Renée Dupont</v>
      </c>
      <c r="E23">
        <v>60</v>
      </c>
      <c r="F23" s="7">
        <f t="shared" si="2"/>
        <v>60</v>
      </c>
      <c r="G23" t="s">
        <v>60</v>
      </c>
      <c r="H23" s="7" t="str">
        <f t="shared" si="3"/>
        <v>Egypt</v>
      </c>
      <c r="I23" t="s">
        <v>76</v>
      </c>
      <c r="J23" s="7" t="str">
        <f>TEXT(
  IFERROR(
    DATEVALUE(SUBSTITUTE(SUBSTITUTE(TRIM(I23),"T"," "),"Z","")),
    IFERROR(
      DATE(
        RIGHT(TRIM(I23),4),
        MID(TRIM(I23),4,2),
        LEFT(TRIM(I23),2)
      ),
      DATE(
        VALUE(RIGHT(TRIM(I23),4)),
        MATCH(LEFT(TRIM(I23),FIND(" ",TRIM(I23))-1),
          {"January","February","March","April","May","June","July","August","September","October","November","December"},0),
        VALUE(MID(TRIM(I23),
          FIND(" ",TRIM(I23))+1,
          FIND(" ",TRIM(I23),FIND(" ",TRIM(I23))+1)-FIND(" ",TRIM(I23))-1))
      )
    )
  ),
"yyyy-mm-dd")</f>
        <v>2023-03-21</v>
      </c>
      <c r="K23" s="5" t="str">
        <f t="shared" si="4"/>
        <v>Mar</v>
      </c>
      <c r="L23">
        <v>1682479862</v>
      </c>
      <c r="M23" s="11">
        <f t="shared" si="5"/>
        <v>45042.146550925929</v>
      </c>
      <c r="N23">
        <v>334.37</v>
      </c>
      <c r="O23" s="7">
        <f t="shared" si="6"/>
        <v>334.37</v>
      </c>
      <c r="P23" t="s">
        <v>27</v>
      </c>
      <c r="Q23" s="7" t="str">
        <f t="shared" si="7"/>
        <v xml:space="preserve">Holiday signup </v>
      </c>
    </row>
    <row r="24" spans="1:17">
      <c r="A24">
        <v>2111</v>
      </c>
      <c r="B24" t="s">
        <v>28</v>
      </c>
      <c r="C24" s="9" t="str">
        <f t="shared" si="0"/>
        <v>Maria Lopez</v>
      </c>
      <c r="D24" s="7" t="str">
        <f t="shared" si="1"/>
        <v>Maria Lopez</v>
      </c>
      <c r="E24">
        <v>21</v>
      </c>
      <c r="F24" s="7">
        <f t="shared" si="2"/>
        <v>21</v>
      </c>
      <c r="G24" t="s">
        <v>60</v>
      </c>
      <c r="H24" s="7" t="str">
        <f t="shared" si="3"/>
        <v>Egypt</v>
      </c>
      <c r="I24" t="s">
        <v>77</v>
      </c>
      <c r="J24" s="7" t="str">
        <f>TEXT(
  IFERROR(
    DATEVALUE(SUBSTITUTE(SUBSTITUTE(TRIM(I24),"T"," "),"Z","")),
    IFERROR(
      DATE(
        RIGHT(TRIM(I24),4),
        MID(TRIM(I24),4,2),
        LEFT(TRIM(I24),2)
      ),
      DATE(
        VALUE(RIGHT(TRIM(I24),4)),
        MATCH(LEFT(TRIM(I24),FIND(" ",TRIM(I24))-1),
          {"January","February","March","April","May","June","July","August","September","October","November","December"},0),
        VALUE(MID(TRIM(I24),
          FIND(" ",TRIM(I24))+1,
          FIND(" ",TRIM(I24),FIND(" ",TRIM(I24))+1)-FIND(" ",TRIM(I24))-1))
      )
    )
  ),
"yyyy-mm-dd")</f>
        <v>2023-09-15</v>
      </c>
      <c r="K24" s="5" t="str">
        <f t="shared" si="4"/>
        <v>Sep</v>
      </c>
      <c r="L24">
        <v>1677806565</v>
      </c>
      <c r="M24" s="11">
        <f t="shared" si="5"/>
        <v>44988.05746527778</v>
      </c>
      <c r="N24">
        <v>94.75</v>
      </c>
      <c r="O24" s="7">
        <f t="shared" si="6"/>
        <v>94.75</v>
      </c>
      <c r="P24" t="s">
        <v>33</v>
      </c>
      <c r="Q24" s="7" t="str">
        <f t="shared" si="7"/>
        <v>Frequent buyer n</v>
      </c>
    </row>
    <row r="25" spans="1:17">
      <c r="A25">
        <v>1141</v>
      </c>
      <c r="B25" t="s">
        <v>78</v>
      </c>
      <c r="C25" s="9" t="str">
        <f t="shared" si="0"/>
        <v>Mia Thompson</v>
      </c>
      <c r="D25" s="7" t="str">
        <f t="shared" si="1"/>
        <v xml:space="preserve"> Mia Thompson </v>
      </c>
      <c r="E25">
        <v>33</v>
      </c>
      <c r="F25" s="7">
        <f t="shared" si="2"/>
        <v>33</v>
      </c>
      <c r="G25" t="s">
        <v>38</v>
      </c>
      <c r="H25" s="7" t="str">
        <f t="shared" si="3"/>
        <v>Spain</v>
      </c>
      <c r="I25" t="s">
        <v>79</v>
      </c>
      <c r="J25" s="7" t="str">
        <f>TEXT(
  IFERROR(
    DATEVALUE(SUBSTITUTE(SUBSTITUTE(TRIM(I25),"T"," "),"Z","")),
    IFERROR(
      DATE(
        RIGHT(TRIM(I25),4),
        MID(TRIM(I25),4,2),
        LEFT(TRIM(I25),2)
      ),
      DATE(
        VALUE(RIGHT(TRIM(I25),4)),
        MATCH(LEFT(TRIM(I25),FIND(" ",TRIM(I25))-1),
          {"January","February","March","April","May","June","July","August","September","October","November","December"},0),
        VALUE(MID(TRIM(I25),
          FIND(" ",TRIM(I25))+1,
          FIND(" ",TRIM(I25),FIND(" ",TRIM(I25))+1)-FIND(" ",TRIM(I25))-1))
      )
    )
  ),
"yyyy-mm-dd")</f>
        <v>2023-10-24</v>
      </c>
      <c r="K25" s="5" t="str">
        <f t="shared" si="4"/>
        <v>Oct</v>
      </c>
      <c r="L25">
        <v>1673857508</v>
      </c>
      <c r="M25" s="11">
        <f t="shared" si="5"/>
        <v>44942.350787037038</v>
      </c>
      <c r="O25" s="7">
        <f t="shared" si="6"/>
        <v>0</v>
      </c>
      <c r="P25" t="s">
        <v>27</v>
      </c>
      <c r="Q25" s="7" t="str">
        <f t="shared" si="7"/>
        <v xml:space="preserve">Holiday signup </v>
      </c>
    </row>
    <row r="26" spans="1:17">
      <c r="A26">
        <v>2158</v>
      </c>
      <c r="B26" t="s">
        <v>80</v>
      </c>
      <c r="C26" s="9" t="str">
        <f t="shared" si="0"/>
        <v>Ahmed Hassan</v>
      </c>
      <c r="D26" s="7" t="str">
        <f t="shared" si="1"/>
        <v>Ahmed Hassan</v>
      </c>
      <c r="E26">
        <v>31</v>
      </c>
      <c r="F26" s="7">
        <f t="shared" si="2"/>
        <v>31</v>
      </c>
      <c r="G26" t="s">
        <v>25</v>
      </c>
      <c r="H26" s="7" t="str">
        <f t="shared" si="3"/>
        <v>Japan</v>
      </c>
      <c r="I26" t="s">
        <v>81</v>
      </c>
      <c r="J26" s="7" t="str">
        <f>TEXT(
  IFERROR(
    DATEVALUE(SUBSTITUTE(SUBSTITUTE(TRIM(I26),"T"," "),"Z","")),
    IFERROR(
      DATE(
        RIGHT(TRIM(I26),4),
        MID(TRIM(I26),4,2),
        LEFT(TRIM(I26),2)
      ),
      DATE(
        VALUE(RIGHT(TRIM(I26),4)),
        MATCH(LEFT(TRIM(I26),FIND(" ",TRIM(I26))-1),
          {"January","February","March","April","May","June","July","August","September","October","November","December"},0),
        VALUE(MID(TRIM(I26),
          FIND(" ",TRIM(I26))+1,
          FIND(" ",TRIM(I26),FIND(" ",TRIM(I26))+1)-FIND(" ",TRIM(I26))-1))
      )
    )
  ),
"yyyy-mm-dd")</f>
        <v>2023-03-05</v>
      </c>
      <c r="K26" s="5" t="str">
        <f t="shared" si="4"/>
        <v>Mar</v>
      </c>
      <c r="L26">
        <v>1685804369</v>
      </c>
      <c r="M26" s="11">
        <f t="shared" si="5"/>
        <v>45080.6246412037</v>
      </c>
      <c r="O26" s="7">
        <f t="shared" si="6"/>
        <v>0</v>
      </c>
      <c r="P26" t="s">
        <v>36</v>
      </c>
      <c r="Q26" s="7" t="str">
        <f t="shared" si="7"/>
        <v>Regular shopper</v>
      </c>
    </row>
    <row r="27" spans="1:17">
      <c r="A27">
        <v>1648</v>
      </c>
      <c r="B27" t="s">
        <v>82</v>
      </c>
      <c r="C27" s="9" t="str">
        <f t="shared" si="0"/>
        <v>Björn Larsson</v>
      </c>
      <c r="D27" s="7" t="str">
        <f t="shared" si="1"/>
        <v>Björn Larsson</v>
      </c>
      <c r="E27">
        <v>47</v>
      </c>
      <c r="F27" s="7">
        <f t="shared" si="2"/>
        <v>47</v>
      </c>
      <c r="G27" t="s">
        <v>18</v>
      </c>
      <c r="H27" s="7" t="str">
        <f t="shared" si="3"/>
        <v>United Kingdom</v>
      </c>
      <c r="I27" t="s">
        <v>83</v>
      </c>
      <c r="J27" s="7" t="str">
        <f>TEXT(
  IFERROR(
    DATEVALUE(SUBSTITUTE(SUBSTITUTE(TRIM(I27),"T"," "),"Z","")),
    IFERROR(
      DATE(
        RIGHT(TRIM(I27),4),
        MID(TRIM(I27),4,2),
        LEFT(TRIM(I27),2)
      ),
      DATE(
        VALUE(RIGHT(TRIM(I27),4)),
        MATCH(LEFT(TRIM(I27),FIND(" ",TRIM(I27))-1),
          {"January","February","March","April","May","June","July","August","September","October","November","December"},0),
        VALUE(MID(TRIM(I27),
          FIND(" ",TRIM(I27))+1,
          FIND(" ",TRIM(I27),FIND(" ",TRIM(I27))+1)-FIND(" ",TRIM(I27))-1))
      )
    )
  ),
"yyyy-mm-dd")</f>
        <v>2023-02-07</v>
      </c>
      <c r="K27" s="5" t="str">
        <f t="shared" si="4"/>
        <v>Feb</v>
      </c>
      <c r="L27">
        <v>1679676271</v>
      </c>
      <c r="M27" s="11">
        <f t="shared" si="5"/>
        <v>45009.697581018518</v>
      </c>
      <c r="N27">
        <v>763.77</v>
      </c>
      <c r="O27" s="7">
        <f t="shared" si="6"/>
        <v>763.77</v>
      </c>
      <c r="P27" t="s">
        <v>84</v>
      </c>
      <c r="Q27" s="7" t="str">
        <f t="shared" si="7"/>
        <v xml:space="preserve">Newsletter subscriber </v>
      </c>
    </row>
    <row r="28" spans="1:17">
      <c r="A28">
        <v>1276</v>
      </c>
      <c r="B28" t="s">
        <v>85</v>
      </c>
      <c r="C28" s="9" t="str">
        <f t="shared" si="0"/>
        <v>Akira Tanaka</v>
      </c>
      <c r="D28" s="7" t="str">
        <f t="shared" si="1"/>
        <v xml:space="preserve"> Akira Tanaka </v>
      </c>
      <c r="E28">
        <v>65</v>
      </c>
      <c r="F28" s="7">
        <f t="shared" si="2"/>
        <v>65</v>
      </c>
      <c r="G28" t="s">
        <v>18</v>
      </c>
      <c r="H28" s="7" t="str">
        <f t="shared" si="3"/>
        <v>United Kingdom</v>
      </c>
      <c r="I28" t="s">
        <v>86</v>
      </c>
      <c r="J28" s="7" t="str">
        <f>TEXT(
  IFERROR(
    DATEVALUE(SUBSTITUTE(SUBSTITUTE(TRIM(I28),"T"," "),"Z","")),
    IFERROR(
      DATE(
        RIGHT(TRIM(I28),4),
        MID(TRIM(I28),4,2),
        LEFT(TRIM(I28),2)
      ),
      DATE(
        VALUE(RIGHT(TRIM(I28),4)),
        MATCH(LEFT(TRIM(I28),FIND(" ",TRIM(I28))-1),
          {"January","February","March","April","May","June","July","August","September","October","November","December"},0),
        VALUE(MID(TRIM(I28),
          FIND(" ",TRIM(I28))+1,
          FIND(" ",TRIM(I28),FIND(" ",TRIM(I28))+1)-FIND(" ",TRIM(I28))-1))
      )
    )
  ),
"yyyy-mm-dd")</f>
        <v>2023-05-20</v>
      </c>
      <c r="K28" s="5" t="str">
        <f t="shared" si="4"/>
        <v>May</v>
      </c>
      <c r="L28">
        <v>1692818721</v>
      </c>
      <c r="M28" s="11">
        <f t="shared" si="5"/>
        <v>45161.809270833328</v>
      </c>
      <c r="O28" s="7">
        <f t="shared" si="6"/>
        <v>0</v>
      </c>
      <c r="P28" t="s">
        <v>40</v>
      </c>
      <c r="Q28" s="7" t="str">
        <f t="shared" si="7"/>
        <v xml:space="preserve">VIP client </v>
      </c>
    </row>
    <row r="29" spans="1:17">
      <c r="A29">
        <v>1541</v>
      </c>
      <c r="B29" t="s">
        <v>80</v>
      </c>
      <c r="C29" s="9" t="str">
        <f t="shared" si="0"/>
        <v>Ahmed Hassan</v>
      </c>
      <c r="D29" s="7" t="str">
        <f t="shared" si="1"/>
        <v>Ahmed Hassan</v>
      </c>
      <c r="E29">
        <v>23</v>
      </c>
      <c r="F29" s="7">
        <f t="shared" si="2"/>
        <v>23</v>
      </c>
      <c r="G29" t="s">
        <v>44</v>
      </c>
      <c r="H29" s="7" t="str">
        <f t="shared" si="3"/>
        <v>UAE</v>
      </c>
      <c r="I29" t="s">
        <v>87</v>
      </c>
      <c r="J29" s="7" t="str">
        <f>TEXT(
  IFERROR(
    DATEVALUE(SUBSTITUTE(SUBSTITUTE(TRIM(I29),"T"," "),"Z","")),
    IFERROR(
      DATE(
        RIGHT(TRIM(I29),4),
        MID(TRIM(I29),4,2),
        LEFT(TRIM(I29),2)
      ),
      DATE(
        VALUE(RIGHT(TRIM(I29),4)),
        MATCH(LEFT(TRIM(I29),FIND(" ",TRIM(I29))-1),
          {"January","February","March","April","May","June","July","August","September","October","November","December"},0),
        VALUE(MID(TRIM(I29),
          FIND(" ",TRIM(I29))+1,
          FIND(" ",TRIM(I29),FIND(" ",TRIM(I29))+1)-FIND(" ",TRIM(I29))-1))
      )
    )
  ),
"yyyy-mm-dd")</f>
        <v>2023-05-22</v>
      </c>
      <c r="K29" s="5" t="str">
        <f t="shared" si="4"/>
        <v>May</v>
      </c>
      <c r="L29">
        <v>1672642973</v>
      </c>
      <c r="M29" s="11">
        <f t="shared" si="5"/>
        <v>44928.293668981481</v>
      </c>
      <c r="N29">
        <v>507</v>
      </c>
      <c r="O29" s="7">
        <f t="shared" si="6"/>
        <v>507</v>
      </c>
      <c r="P29" t="s">
        <v>58</v>
      </c>
      <c r="Q29" s="7" t="str">
        <f t="shared" si="7"/>
        <v>Student account</v>
      </c>
    </row>
    <row r="30" spans="1:17">
      <c r="A30">
        <v>1331</v>
      </c>
      <c r="B30" t="s">
        <v>88</v>
      </c>
      <c r="C30" s="9" t="str">
        <f t="shared" si="0"/>
        <v>André Santos</v>
      </c>
      <c r="D30" s="7" t="str">
        <f t="shared" si="1"/>
        <v>André Santos</v>
      </c>
      <c r="E30">
        <v>45</v>
      </c>
      <c r="F30" s="7">
        <f t="shared" si="2"/>
        <v>45</v>
      </c>
      <c r="G30" t="s">
        <v>29</v>
      </c>
      <c r="H30" s="7" t="str">
        <f t="shared" si="3"/>
        <v>United States</v>
      </c>
      <c r="I30" t="s">
        <v>89</v>
      </c>
      <c r="J30" s="7" t="str">
        <f>TEXT(
  IFERROR(
    DATEVALUE(SUBSTITUTE(SUBSTITUTE(TRIM(I30),"T"," "),"Z","")),
    IFERROR(
      DATE(
        RIGHT(TRIM(I30),4),
        MID(TRIM(I30),4,2),
        LEFT(TRIM(I30),2)
      ),
      DATE(
        VALUE(RIGHT(TRIM(I30),4)),
        MATCH(LEFT(TRIM(I30),FIND(" ",TRIM(I30))-1),
          {"January","February","March","April","May","June","July","August","September","October","November","December"},0),
        VALUE(MID(TRIM(I30),
          FIND(" ",TRIM(I30))+1,
          FIND(" ",TRIM(I30),FIND(" ",TRIM(I30))+1)-FIND(" ",TRIM(I30))-1))
      )
    )
  ),
"yyyy-mm-dd")</f>
        <v>2023-02-27</v>
      </c>
      <c r="K30" s="5" t="str">
        <f t="shared" si="4"/>
        <v>Feb</v>
      </c>
      <c r="L30">
        <v>1702156133</v>
      </c>
      <c r="M30" s="11">
        <f t="shared" si="5"/>
        <v>45269.881168981483</v>
      </c>
      <c r="N30">
        <v>1039.6199999999999</v>
      </c>
      <c r="O30" s="7">
        <f t="shared" si="6"/>
        <v>1039.6199999999999</v>
      </c>
      <c r="P30" t="s">
        <v>46</v>
      </c>
      <c r="Q30" s="7" t="str">
        <f t="shared" si="7"/>
        <v>Corporate account</v>
      </c>
    </row>
    <row r="31" spans="1:17">
      <c r="A31">
        <v>1074</v>
      </c>
      <c r="B31" t="s">
        <v>90</v>
      </c>
      <c r="C31" s="9" t="str">
        <f t="shared" si="0"/>
        <v>Olivia Wilson</v>
      </c>
      <c r="D31" s="7" t="str">
        <f t="shared" si="1"/>
        <v>Olivia Wilson</v>
      </c>
      <c r="E31">
        <v>27</v>
      </c>
      <c r="F31" s="7">
        <f t="shared" si="2"/>
        <v>27</v>
      </c>
      <c r="G31" t="s">
        <v>29</v>
      </c>
      <c r="H31" s="7" t="str">
        <f t="shared" si="3"/>
        <v>United States</v>
      </c>
      <c r="I31" t="s">
        <v>91</v>
      </c>
      <c r="J31" s="7" t="str">
        <f>TEXT(
  IFERROR(
    DATEVALUE(SUBSTITUTE(SUBSTITUTE(TRIM(I31),"T"," "),"Z","")),
    IFERROR(
      DATE(
        RIGHT(TRIM(I31),4),
        MID(TRIM(I31),4,2),
        LEFT(TRIM(I31),2)
      ),
      DATE(
        VALUE(RIGHT(TRIM(I31),4)),
        MATCH(LEFT(TRIM(I31),FIND(" ",TRIM(I31))-1),
          {"January","February","March","April","May","June","July","August","September","October","November","December"},0),
        VALUE(MID(TRIM(I31),
          FIND(" ",TRIM(I31))+1,
          FIND(" ",TRIM(I31),FIND(" ",TRIM(I31))+1)-FIND(" ",TRIM(I31))-1))
      )
    )
  ),
"yyyy-mm-dd")</f>
        <v>2023-07-06</v>
      </c>
      <c r="K31" s="5" t="str">
        <f t="shared" si="4"/>
        <v>Jul</v>
      </c>
      <c r="L31">
        <v>1702688813</v>
      </c>
      <c r="M31" s="11">
        <f t="shared" si="5"/>
        <v>45276.046446759261</v>
      </c>
      <c r="N31">
        <v>1400.3</v>
      </c>
      <c r="O31" s="7">
        <f t="shared" si="6"/>
        <v>1400.3</v>
      </c>
      <c r="P31" t="s">
        <v>84</v>
      </c>
      <c r="Q31" s="7" t="str">
        <f t="shared" si="7"/>
        <v xml:space="preserve">Newsletter subscriber </v>
      </c>
    </row>
    <row r="32" spans="1:17">
      <c r="A32">
        <v>1431</v>
      </c>
      <c r="B32" t="s">
        <v>92</v>
      </c>
      <c r="C32" s="9" t="str">
        <f t="shared" si="0"/>
        <v>Zoë Kravitz</v>
      </c>
      <c r="D32" s="7" t="str">
        <f t="shared" si="1"/>
        <v xml:space="preserve"> Zoë Kravitz </v>
      </c>
      <c r="E32">
        <v>40</v>
      </c>
      <c r="F32" s="7">
        <f t="shared" si="2"/>
        <v>40</v>
      </c>
      <c r="G32" t="s">
        <v>44</v>
      </c>
      <c r="H32" s="7" t="str">
        <f t="shared" si="3"/>
        <v>UAE</v>
      </c>
      <c r="I32" t="s">
        <v>93</v>
      </c>
      <c r="J32" s="7" t="str">
        <f>TEXT(
  IFERROR(
    DATEVALUE(SUBSTITUTE(SUBSTITUTE(TRIM(I32),"T"," "),"Z","")),
    IFERROR(
      DATE(
        RIGHT(TRIM(I32),4),
        MID(TRIM(I32),4,2),
        LEFT(TRIM(I32),2)
      ),
      DATE(
        VALUE(RIGHT(TRIM(I32),4)),
        MATCH(LEFT(TRIM(I32),FIND(" ",TRIM(I32))-1),
          {"January","February","March","April","May","June","July","August","September","October","November","December"},0),
        VALUE(MID(TRIM(I32),
          FIND(" ",TRIM(I32))+1,
          FIND(" ",TRIM(I32),FIND(" ",TRIM(I32))+1)-FIND(" ",TRIM(I32))-1))
      )
    )
  ),
"yyyy-mm-dd")</f>
        <v>2023-11-14</v>
      </c>
      <c r="K32" s="5" t="str">
        <f t="shared" si="4"/>
        <v>Nov</v>
      </c>
      <c r="L32">
        <v>1703587479</v>
      </c>
      <c r="M32" s="11">
        <f t="shared" si="5"/>
        <v>45286.44767361111</v>
      </c>
      <c r="N32">
        <v>1395.52</v>
      </c>
      <c r="O32" s="7">
        <f t="shared" si="6"/>
        <v>1395.52</v>
      </c>
      <c r="P32" t="s">
        <v>33</v>
      </c>
      <c r="Q32" s="7" t="str">
        <f t="shared" si="7"/>
        <v>Frequent buyer n</v>
      </c>
    </row>
    <row r="33" spans="1:17">
      <c r="A33">
        <v>1845</v>
      </c>
      <c r="B33" t="s">
        <v>94</v>
      </c>
      <c r="C33" s="9" t="str">
        <f t="shared" si="0"/>
        <v>John Smith</v>
      </c>
      <c r="D33" s="7" t="str">
        <f t="shared" si="1"/>
        <v xml:space="preserve"> John Smith </v>
      </c>
      <c r="E33">
        <v>44</v>
      </c>
      <c r="F33" s="7">
        <f t="shared" si="2"/>
        <v>44</v>
      </c>
      <c r="G33" t="s">
        <v>38</v>
      </c>
      <c r="H33" s="7" t="str">
        <f t="shared" si="3"/>
        <v>Spain</v>
      </c>
      <c r="I33" t="s">
        <v>95</v>
      </c>
      <c r="J33" s="7" t="str">
        <f>TEXT(
  IFERROR(
    DATEVALUE(SUBSTITUTE(SUBSTITUTE(TRIM(I33),"T"," "),"Z","")),
    IFERROR(
      DATE(
        RIGHT(TRIM(I33),4),
        MID(TRIM(I33),4,2),
        LEFT(TRIM(I33),2)
      ),
      DATE(
        VALUE(RIGHT(TRIM(I33),4)),
        MATCH(LEFT(TRIM(I33),FIND(" ",TRIM(I33))-1),
          {"January","February","March","April","May","June","July","August","September","October","November","December"},0),
        VALUE(MID(TRIM(I33),
          FIND(" ",TRIM(I33))+1,
          FIND(" ",TRIM(I33),FIND(" ",TRIM(I33))+1)-FIND(" ",TRIM(I33))-1))
      )
    )
  ),
"yyyy-mm-dd")</f>
        <v>2023-05-17</v>
      </c>
      <c r="K33" s="5" t="str">
        <f t="shared" si="4"/>
        <v>May</v>
      </c>
      <c r="L33">
        <v>1698943904</v>
      </c>
      <c r="M33" s="11">
        <f t="shared" si="5"/>
        <v>45232.702592592592</v>
      </c>
      <c r="O33" s="7">
        <f t="shared" si="6"/>
        <v>0</v>
      </c>
      <c r="P33" t="s">
        <v>20</v>
      </c>
      <c r="Q33" s="7" t="str">
        <f t="shared" si="7"/>
        <v xml:space="preserve">Great customer </v>
      </c>
    </row>
    <row r="34" spans="1:17">
      <c r="A34">
        <v>1964</v>
      </c>
      <c r="B34" t="s">
        <v>66</v>
      </c>
      <c r="C34" s="9" t="str">
        <f t="shared" si="0"/>
        <v>Emily Davis</v>
      </c>
      <c r="D34" s="7" t="str">
        <f t="shared" si="1"/>
        <v xml:space="preserve"> Emily Davis </v>
      </c>
      <c r="F34" s="7">
        <f t="shared" si="2"/>
        <v>43</v>
      </c>
      <c r="G34" t="s">
        <v>38</v>
      </c>
      <c r="H34" s="7" t="str">
        <f t="shared" si="3"/>
        <v>Spain</v>
      </c>
      <c r="I34" t="s">
        <v>96</v>
      </c>
      <c r="J34" s="7" t="str">
        <f>TEXT(
  IFERROR(
    DATEVALUE(SUBSTITUTE(SUBSTITUTE(TRIM(I34),"T"," "),"Z","")),
    IFERROR(
      DATE(
        RIGHT(TRIM(I34),4),
        MID(TRIM(I34),4,2),
        LEFT(TRIM(I34),2)
      ),
      DATE(
        VALUE(RIGHT(TRIM(I34),4)),
        MATCH(LEFT(TRIM(I34),FIND(" ",TRIM(I34))-1),
          {"January","February","March","April","May","June","July","August","September","October","November","December"},0),
        VALUE(MID(TRIM(I34),
          FIND(" ",TRIM(I34))+1,
          FIND(" ",TRIM(I34),FIND(" ",TRIM(I34))+1)-FIND(" ",TRIM(I34))-1))
      )
    )
  ),
"yyyy-mm-dd")</f>
        <v>2023-04-25</v>
      </c>
      <c r="K34" s="5" t="str">
        <f t="shared" si="4"/>
        <v>Apr</v>
      </c>
      <c r="L34">
        <v>1694671038</v>
      </c>
      <c r="M34" s="11">
        <f t="shared" si="5"/>
        <v>45183.248124999998</v>
      </c>
      <c r="O34" s="7">
        <f t="shared" si="6"/>
        <v>0</v>
      </c>
      <c r="P34" t="s">
        <v>58</v>
      </c>
      <c r="Q34" s="7" t="str">
        <f t="shared" si="7"/>
        <v>Student account</v>
      </c>
    </row>
    <row r="35" spans="1:17">
      <c r="A35">
        <v>1143</v>
      </c>
      <c r="B35" t="s">
        <v>97</v>
      </c>
      <c r="C35" s="9" t="str">
        <f t="shared" si="0"/>
        <v>Björn Larsson</v>
      </c>
      <c r="D35" s="7" t="str">
        <f t="shared" si="1"/>
        <v xml:space="preserve"> Björn Larsson </v>
      </c>
      <c r="F35" s="7">
        <f t="shared" si="2"/>
        <v>43</v>
      </c>
      <c r="G35" t="s">
        <v>62</v>
      </c>
      <c r="H35" s="7" t="str">
        <f t="shared" si="3"/>
        <v>Ireland</v>
      </c>
      <c r="I35" t="s">
        <v>98</v>
      </c>
      <c r="J35" s="7" t="str">
        <f>TEXT(
  IFERROR(
    DATEVALUE(SUBSTITUTE(SUBSTITUTE(TRIM(I35),"T"," "),"Z","")),
    IFERROR(
      DATE(
        RIGHT(TRIM(I35),4),
        MID(TRIM(I35),4,2),
        LEFT(TRIM(I35),2)
      ),
      DATE(
        VALUE(RIGHT(TRIM(I35),4)),
        MATCH(LEFT(TRIM(I35),FIND(" ",TRIM(I35))-1),
          {"January","February","March","April","May","June","July","August","September","October","November","December"},0),
        VALUE(MID(TRIM(I35),
          FIND(" ",TRIM(I35))+1,
          FIND(" ",TRIM(I35),FIND(" ",TRIM(I35))+1)-FIND(" ",TRIM(I35))-1))
      )
    )
  ),
"yyyy-mm-dd")</f>
        <v>2023-06-19</v>
      </c>
      <c r="K35" s="5" t="str">
        <f t="shared" si="4"/>
        <v>Jun</v>
      </c>
      <c r="L35">
        <v>1676394226</v>
      </c>
      <c r="M35" s="11">
        <f t="shared" si="5"/>
        <v>44971.71094907407</v>
      </c>
      <c r="O35" s="7">
        <f t="shared" si="6"/>
        <v>0</v>
      </c>
      <c r="P35" t="s">
        <v>33</v>
      </c>
      <c r="Q35" s="7" t="str">
        <f t="shared" si="7"/>
        <v>Frequent buyer n</v>
      </c>
    </row>
    <row r="36" spans="1:17">
      <c r="A36">
        <v>2190</v>
      </c>
      <c r="B36" t="s">
        <v>85</v>
      </c>
      <c r="C36" s="9" t="str">
        <f t="shared" si="0"/>
        <v>Akira Tanaka</v>
      </c>
      <c r="D36" s="7" t="str">
        <f t="shared" si="1"/>
        <v xml:space="preserve"> Akira Tanaka </v>
      </c>
      <c r="F36" s="7">
        <f t="shared" si="2"/>
        <v>43</v>
      </c>
      <c r="G36" t="s">
        <v>25</v>
      </c>
      <c r="H36" s="7" t="str">
        <f t="shared" si="3"/>
        <v>Japan</v>
      </c>
      <c r="I36" t="s">
        <v>99</v>
      </c>
      <c r="J36" s="7" t="str">
        <f>TEXT(
  IFERROR(
    DATEVALUE(SUBSTITUTE(SUBSTITUTE(TRIM(I36),"T"," "),"Z","")),
    IFERROR(
      DATE(
        RIGHT(TRIM(I36),4),
        MID(TRIM(I36),4,2),
        LEFT(TRIM(I36),2)
      ),
      DATE(
        VALUE(RIGHT(TRIM(I36),4)),
        MATCH(LEFT(TRIM(I36),FIND(" ",TRIM(I36))-1),
          {"January","February","March","April","May","June","July","August","September","October","November","December"},0),
        VALUE(MID(TRIM(I36),
          FIND(" ",TRIM(I36))+1,
          FIND(" ",TRIM(I36),FIND(" ",TRIM(I36))+1)-FIND(" ",TRIM(I36))-1))
      )
    )
  ),
"yyyy-mm-dd")</f>
        <v>2023-08-12</v>
      </c>
      <c r="K36" s="5" t="str">
        <f t="shared" si="4"/>
        <v>Aug</v>
      </c>
      <c r="L36">
        <v>1689684510</v>
      </c>
      <c r="M36" s="11">
        <f t="shared" si="5"/>
        <v>45125.533680555556</v>
      </c>
      <c r="N36">
        <v>182.31</v>
      </c>
      <c r="O36" s="7">
        <f t="shared" si="6"/>
        <v>182.31</v>
      </c>
      <c r="P36" t="s">
        <v>58</v>
      </c>
      <c r="Q36" s="7" t="str">
        <f t="shared" si="7"/>
        <v>Student account</v>
      </c>
    </row>
    <row r="37" spans="1:17">
      <c r="A37">
        <v>1091</v>
      </c>
      <c r="B37" t="s">
        <v>24</v>
      </c>
      <c r="C37" s="9" t="str">
        <f t="shared" si="0"/>
        <v>Renée Dupont</v>
      </c>
      <c r="D37" s="7" t="str">
        <f t="shared" si="1"/>
        <v>Renée Dupont</v>
      </c>
      <c r="E37">
        <v>52</v>
      </c>
      <c r="F37" s="7">
        <f t="shared" si="2"/>
        <v>52</v>
      </c>
      <c r="G37" t="s">
        <v>22</v>
      </c>
      <c r="H37" s="7" t="str">
        <f t="shared" si="3"/>
        <v>Germany</v>
      </c>
      <c r="I37" t="s">
        <v>100</v>
      </c>
      <c r="J37" s="7" t="str">
        <f>TEXT(
  IFERROR(
    DATEVALUE(SUBSTITUTE(SUBSTITUTE(TRIM(I37),"T"," "),"Z","")),
    IFERROR(
      DATE(
        RIGHT(TRIM(I37),4),
        MID(TRIM(I37),4,2),
        LEFT(TRIM(I37),2)
      ),
      DATE(
        VALUE(RIGHT(TRIM(I37),4)),
        MATCH(LEFT(TRIM(I37),FIND(" ",TRIM(I37))-1),
          {"January","February","March","April","May","June","July","August","September","October","November","December"},0),
        VALUE(MID(TRIM(I37),
          FIND(" ",TRIM(I37))+1,
          FIND(" ",TRIM(I37),FIND(" ",TRIM(I37))+1)-FIND(" ",TRIM(I37))-1))
      )
    )
  ),
"yyyy-mm-dd")</f>
        <v>2023-07-06</v>
      </c>
      <c r="K37" s="5" t="str">
        <f t="shared" si="4"/>
        <v>Jul</v>
      </c>
      <c r="L37">
        <v>1674871931</v>
      </c>
      <c r="M37" s="11">
        <f t="shared" si="5"/>
        <v>44954.091793981483</v>
      </c>
      <c r="O37" s="7">
        <f t="shared" si="6"/>
        <v>0</v>
      </c>
      <c r="P37" t="s">
        <v>27</v>
      </c>
      <c r="Q37" s="7" t="str">
        <f t="shared" si="7"/>
        <v xml:space="preserve">Holiday signup </v>
      </c>
    </row>
    <row r="38" spans="1:17">
      <c r="A38">
        <v>1643</v>
      </c>
      <c r="B38" t="s">
        <v>101</v>
      </c>
      <c r="C38" s="9" t="str">
        <f t="shared" si="0"/>
        <v>Zoë Kravitz</v>
      </c>
      <c r="D38" s="7" t="str">
        <f t="shared" si="1"/>
        <v>Zoë Kravitz</v>
      </c>
      <c r="E38">
        <v>37</v>
      </c>
      <c r="F38" s="7">
        <f t="shared" si="2"/>
        <v>37</v>
      </c>
      <c r="G38" t="s">
        <v>102</v>
      </c>
      <c r="H38" s="7" t="str">
        <f t="shared" si="3"/>
        <v>Mexico</v>
      </c>
      <c r="I38" t="s">
        <v>103</v>
      </c>
      <c r="J38" s="7" t="str">
        <f>TEXT(
  IFERROR(
    DATEVALUE(SUBSTITUTE(SUBSTITUTE(TRIM(I38),"T"," "),"Z","")),
    IFERROR(
      DATE(
        RIGHT(TRIM(I38),4),
        MID(TRIM(I38),4,2),
        LEFT(TRIM(I38),2)
      ),
      DATE(
        VALUE(RIGHT(TRIM(I38),4)),
        MATCH(LEFT(TRIM(I38),FIND(" ",TRIM(I38))-1),
          {"January","February","March","April","May","June","July","August","September","October","November","December"},0),
        VALUE(MID(TRIM(I38),
          FIND(" ",TRIM(I38))+1,
          FIND(" ",TRIM(I38),FIND(" ",TRIM(I38))+1)-FIND(" ",TRIM(I38))-1))
      )
    )
  ),
"yyyy-mm-dd")</f>
        <v>2023-12-08</v>
      </c>
      <c r="K38" s="5" t="str">
        <f t="shared" si="4"/>
        <v>Dec</v>
      </c>
      <c r="L38">
        <v>1683468882</v>
      </c>
      <c r="M38" s="11">
        <f t="shared" si="5"/>
        <v>45053.593541666662</v>
      </c>
      <c r="O38" s="7">
        <f t="shared" si="6"/>
        <v>0</v>
      </c>
      <c r="P38" t="s">
        <v>46</v>
      </c>
      <c r="Q38" s="7" t="str">
        <f t="shared" si="7"/>
        <v>Corporate account</v>
      </c>
    </row>
    <row r="39" spans="1:17">
      <c r="A39">
        <v>1261</v>
      </c>
      <c r="B39" t="s">
        <v>104</v>
      </c>
      <c r="C39" s="9" t="str">
        <f t="shared" si="0"/>
        <v>David Brown</v>
      </c>
      <c r="D39" s="7" t="str">
        <f t="shared" si="1"/>
        <v>David Brown</v>
      </c>
      <c r="E39">
        <v>61</v>
      </c>
      <c r="F39" s="7">
        <f t="shared" si="2"/>
        <v>61</v>
      </c>
      <c r="G39" t="s">
        <v>48</v>
      </c>
      <c r="H39" s="7" t="str">
        <f t="shared" si="3"/>
        <v>France</v>
      </c>
      <c r="I39" t="s">
        <v>105</v>
      </c>
      <c r="J39" s="7" t="str">
        <f>TEXT(
  IFERROR(
    DATEVALUE(SUBSTITUTE(SUBSTITUTE(TRIM(I39),"T"," "),"Z","")),
    IFERROR(
      DATE(
        RIGHT(TRIM(I39),4),
        MID(TRIM(I39),4,2),
        LEFT(TRIM(I39),2)
      ),
      DATE(
        VALUE(RIGHT(TRIM(I39),4)),
        MATCH(LEFT(TRIM(I39),FIND(" ",TRIM(I39))-1),
          {"January","February","March","April","May","June","July","August","September","October","November","December"},0),
        VALUE(MID(TRIM(I39),
          FIND(" ",TRIM(I39))+1,
          FIND(" ",TRIM(I39),FIND(" ",TRIM(I39))+1)-FIND(" ",TRIM(I39))-1))
      )
    )
  ),
"yyyy-mm-dd")</f>
        <v>2023-11-12</v>
      </c>
      <c r="K39" s="5" t="str">
        <f t="shared" si="4"/>
        <v>Nov</v>
      </c>
      <c r="L39">
        <v>1682622202</v>
      </c>
      <c r="M39" s="11">
        <f t="shared" si="5"/>
        <v>45043.794004629628</v>
      </c>
      <c r="N39">
        <v>615.04999999999995</v>
      </c>
      <c r="O39" s="7">
        <f t="shared" si="6"/>
        <v>615.04999999999995</v>
      </c>
      <c r="P39" t="s">
        <v>58</v>
      </c>
      <c r="Q39" s="7" t="str">
        <f t="shared" si="7"/>
        <v>Student account</v>
      </c>
    </row>
    <row r="40" spans="1:17">
      <c r="A40">
        <v>1588</v>
      </c>
      <c r="B40" t="s">
        <v>104</v>
      </c>
      <c r="C40" s="9" t="str">
        <f t="shared" si="0"/>
        <v>David Brown</v>
      </c>
      <c r="D40" s="7" t="str">
        <f t="shared" si="1"/>
        <v>David Brown</v>
      </c>
      <c r="E40">
        <v>56</v>
      </c>
      <c r="F40" s="7">
        <f t="shared" si="2"/>
        <v>56</v>
      </c>
      <c r="G40" t="s">
        <v>25</v>
      </c>
      <c r="H40" s="7" t="str">
        <f t="shared" si="3"/>
        <v>Japan</v>
      </c>
      <c r="I40" t="s">
        <v>106</v>
      </c>
      <c r="J40" s="7" t="str">
        <f>TEXT(
  IFERROR(
    DATEVALUE(SUBSTITUTE(SUBSTITUTE(TRIM(I40),"T"," "),"Z","")),
    IFERROR(
      DATE(
        RIGHT(TRIM(I40),4),
        MID(TRIM(I40),4,2),
        LEFT(TRIM(I40),2)
      ),
      DATE(
        VALUE(RIGHT(TRIM(I40),4)),
        MATCH(LEFT(TRIM(I40),FIND(" ",TRIM(I40))-1),
          {"January","February","March","April","May","June","July","August","September","October","November","December"},0),
        VALUE(MID(TRIM(I40),
          FIND(" ",TRIM(I40))+1,
          FIND(" ",TRIM(I40),FIND(" ",TRIM(I40))+1)-FIND(" ",TRIM(I40))-1))
      )
    )
  ),
"yyyy-mm-dd")</f>
        <v>2023-08-27</v>
      </c>
      <c r="K40" s="5" t="str">
        <f t="shared" si="4"/>
        <v>Aug</v>
      </c>
      <c r="L40">
        <v>1687360420</v>
      </c>
      <c r="M40" s="11">
        <f t="shared" si="5"/>
        <v>45098.63449074074</v>
      </c>
      <c r="O40" s="7">
        <f t="shared" si="6"/>
        <v>0</v>
      </c>
      <c r="P40" t="s">
        <v>33</v>
      </c>
      <c r="Q40" s="7" t="str">
        <f t="shared" si="7"/>
        <v>Frequent buyer n</v>
      </c>
    </row>
    <row r="41" spans="1:17">
      <c r="A41">
        <v>1174</v>
      </c>
      <c r="B41" t="s">
        <v>107</v>
      </c>
      <c r="C41" s="9" t="str">
        <f t="shared" si="0"/>
        <v>Fatima Ali</v>
      </c>
      <c r="D41" s="7" t="str">
        <f t="shared" si="1"/>
        <v>Fatima Ali</v>
      </c>
      <c r="F41" s="7">
        <f t="shared" si="2"/>
        <v>43</v>
      </c>
      <c r="G41" t="s">
        <v>29</v>
      </c>
      <c r="H41" s="7" t="str">
        <f t="shared" si="3"/>
        <v>United States</v>
      </c>
      <c r="I41" t="s">
        <v>108</v>
      </c>
      <c r="J41" s="7" t="str">
        <f>TEXT(
  IFERROR(
    DATEVALUE(SUBSTITUTE(SUBSTITUTE(TRIM(I41),"T"," "),"Z","")),
    IFERROR(
      DATE(
        RIGHT(TRIM(I41),4),
        MID(TRIM(I41),4,2),
        LEFT(TRIM(I41),2)
      ),
      DATE(
        VALUE(RIGHT(TRIM(I41),4)),
        MATCH(LEFT(TRIM(I41),FIND(" ",TRIM(I41))-1),
          {"January","February","March","April","May","June","July","August","September","October","November","December"},0),
        VALUE(MID(TRIM(I41),
          FIND(" ",TRIM(I41))+1,
          FIND(" ",TRIM(I41),FIND(" ",TRIM(I41))+1)-FIND(" ",TRIM(I41))-1))
      )
    )
  ),
"yyyy-mm-dd")</f>
        <v>2023-01-05</v>
      </c>
      <c r="K41" s="5" t="str">
        <f t="shared" si="4"/>
        <v>Jan</v>
      </c>
      <c r="L41">
        <v>1680061689</v>
      </c>
      <c r="M41" s="11">
        <f t="shared" si="5"/>
        <v>45014.158437499995</v>
      </c>
      <c r="N41">
        <v>1211.78</v>
      </c>
      <c r="O41" s="7">
        <f t="shared" si="6"/>
        <v>1211.78</v>
      </c>
      <c r="P41" t="s">
        <v>20</v>
      </c>
      <c r="Q41" s="7" t="str">
        <f t="shared" si="7"/>
        <v xml:space="preserve">Great customer </v>
      </c>
    </row>
    <row r="42" spans="1:17">
      <c r="A42">
        <v>1095</v>
      </c>
      <c r="B42" t="s">
        <v>72</v>
      </c>
      <c r="C42" s="9" t="str">
        <f t="shared" si="0"/>
        <v>Emily Davis</v>
      </c>
      <c r="D42" s="7" t="str">
        <f t="shared" si="1"/>
        <v>Emily Davis</v>
      </c>
      <c r="F42" s="7">
        <f t="shared" si="2"/>
        <v>43</v>
      </c>
      <c r="G42" t="s">
        <v>44</v>
      </c>
      <c r="H42" s="7" t="str">
        <f t="shared" si="3"/>
        <v>UAE</v>
      </c>
      <c r="I42" t="s">
        <v>109</v>
      </c>
      <c r="J42" s="7" t="str">
        <f>TEXT(
  IFERROR(
    DATEVALUE(SUBSTITUTE(SUBSTITUTE(TRIM(I42),"T"," "),"Z","")),
    IFERROR(
      DATE(
        RIGHT(TRIM(I42),4),
        MID(TRIM(I42),4,2),
        LEFT(TRIM(I42),2)
      ),
      DATE(
        VALUE(RIGHT(TRIM(I42),4)),
        MATCH(LEFT(TRIM(I42),FIND(" ",TRIM(I42))-1),
          {"January","February","March","April","May","June","July","August","September","October","November","December"},0),
        VALUE(MID(TRIM(I42),
          FIND(" ",TRIM(I42))+1,
          FIND(" ",TRIM(I42),FIND(" ",TRIM(I42))+1)-FIND(" ",TRIM(I42))-1))
      )
    )
  ),
"yyyy-mm-dd")</f>
        <v>2023-11-19</v>
      </c>
      <c r="K42" s="5" t="str">
        <f t="shared" si="4"/>
        <v>Nov</v>
      </c>
      <c r="L42">
        <v>1679048163</v>
      </c>
      <c r="M42" s="11">
        <f t="shared" si="5"/>
        <v>45002.427812499998</v>
      </c>
      <c r="O42" s="7">
        <f t="shared" si="6"/>
        <v>0</v>
      </c>
      <c r="P42" t="s">
        <v>36</v>
      </c>
      <c r="Q42" s="7" t="str">
        <f t="shared" si="7"/>
        <v>Regular shopper</v>
      </c>
    </row>
    <row r="43" spans="1:17">
      <c r="A43">
        <v>1819</v>
      </c>
      <c r="B43" t="s">
        <v>66</v>
      </c>
      <c r="C43" s="9" t="str">
        <f t="shared" si="0"/>
        <v>Emily Davis</v>
      </c>
      <c r="D43" s="7" t="str">
        <f t="shared" si="1"/>
        <v xml:space="preserve"> Emily Davis </v>
      </c>
      <c r="E43">
        <v>62</v>
      </c>
      <c r="F43" s="7">
        <f t="shared" si="2"/>
        <v>62</v>
      </c>
      <c r="G43" t="s">
        <v>44</v>
      </c>
      <c r="H43" s="7" t="str">
        <f t="shared" si="3"/>
        <v>UAE</v>
      </c>
      <c r="I43" t="s">
        <v>110</v>
      </c>
      <c r="J43" s="7" t="str">
        <f>TEXT(
  IFERROR(
    DATEVALUE(SUBSTITUTE(SUBSTITUTE(TRIM(I43),"T"," "),"Z","")),
    IFERROR(
      DATE(
        RIGHT(TRIM(I43),4),
        MID(TRIM(I43),4,2),
        LEFT(TRIM(I43),2)
      ),
      DATE(
        VALUE(RIGHT(TRIM(I43),4)),
        MATCH(LEFT(TRIM(I43),FIND(" ",TRIM(I43))-1),
          {"January","February","March","April","May","June","July","August","September","October","November","December"},0),
        VALUE(MID(TRIM(I43),
          FIND(" ",TRIM(I43))+1,
          FIND(" ",TRIM(I43),FIND(" ",TRIM(I43))+1)-FIND(" ",TRIM(I43))-1))
      )
    )
  ),
"yyyy-mm-dd")</f>
        <v>2023-04-23</v>
      </c>
      <c r="K43" s="5" t="str">
        <f t="shared" si="4"/>
        <v>Apr</v>
      </c>
      <c r="L43">
        <v>1699505449</v>
      </c>
      <c r="M43" s="11">
        <f t="shared" si="5"/>
        <v>45239.201956018514</v>
      </c>
      <c r="O43" s="7">
        <f t="shared" si="6"/>
        <v>0</v>
      </c>
      <c r="P43" t="s">
        <v>20</v>
      </c>
      <c r="Q43" s="7" t="str">
        <f t="shared" si="7"/>
        <v xml:space="preserve">Great customer </v>
      </c>
    </row>
    <row r="44" spans="1:17">
      <c r="A44">
        <v>2142</v>
      </c>
      <c r="B44" t="s">
        <v>72</v>
      </c>
      <c r="C44" s="9" t="str">
        <f t="shared" si="0"/>
        <v>Emily Davis</v>
      </c>
      <c r="D44" s="7" t="str">
        <f t="shared" si="1"/>
        <v>Emily Davis</v>
      </c>
      <c r="E44">
        <v>25</v>
      </c>
      <c r="F44" s="7">
        <f t="shared" si="2"/>
        <v>25</v>
      </c>
      <c r="G44" t="s">
        <v>111</v>
      </c>
      <c r="H44" s="7" t="str">
        <f t="shared" si="3"/>
        <v>South Korea</v>
      </c>
      <c r="I44" t="s">
        <v>112</v>
      </c>
      <c r="J44" s="7" t="str">
        <f>TEXT(
  IFERROR(
    DATEVALUE(SUBSTITUTE(SUBSTITUTE(TRIM(I44),"T"," "),"Z","")),
    IFERROR(
      DATE(
        RIGHT(TRIM(I44),4),
        MID(TRIM(I44),4,2),
        LEFT(TRIM(I44),2)
      ),
      DATE(
        VALUE(RIGHT(TRIM(I44),4)),
        MATCH(LEFT(TRIM(I44),FIND(" ",TRIM(I44))-1),
          {"January","February","March","April","May","June","July","August","September","October","November","December"},0),
        VALUE(MID(TRIM(I44),
          FIND(" ",TRIM(I44))+1,
          FIND(" ",TRIM(I44),FIND(" ",TRIM(I44))+1)-FIND(" ",TRIM(I44))-1))
      )
    )
  ),
"yyyy-mm-dd")</f>
        <v>2023-12-08</v>
      </c>
      <c r="K44" s="5" t="str">
        <f t="shared" si="4"/>
        <v>Dec</v>
      </c>
      <c r="L44">
        <v>1691278420</v>
      </c>
      <c r="M44" s="11">
        <f t="shared" si="5"/>
        <v>45143.981712962966</v>
      </c>
      <c r="O44" s="7">
        <f t="shared" si="6"/>
        <v>0</v>
      </c>
      <c r="P44" t="s">
        <v>27</v>
      </c>
      <c r="Q44" s="7" t="str">
        <f t="shared" si="7"/>
        <v xml:space="preserve">Holiday signup </v>
      </c>
    </row>
    <row r="45" spans="1:17">
      <c r="A45">
        <v>2034</v>
      </c>
      <c r="B45" t="s">
        <v>74</v>
      </c>
      <c r="C45" s="9" t="str">
        <f t="shared" si="0"/>
        <v>Sofia Rossi</v>
      </c>
      <c r="D45" s="7" t="str">
        <f t="shared" si="1"/>
        <v>Sofia Rossi</v>
      </c>
      <c r="E45">
        <v>53</v>
      </c>
      <c r="F45" s="7">
        <f t="shared" si="2"/>
        <v>53</v>
      </c>
      <c r="G45" t="s">
        <v>60</v>
      </c>
      <c r="H45" s="7" t="str">
        <f t="shared" si="3"/>
        <v>Egypt</v>
      </c>
      <c r="I45" t="s">
        <v>113</v>
      </c>
      <c r="J45" s="7" t="str">
        <f>TEXT(
  IFERROR(
    DATEVALUE(SUBSTITUTE(SUBSTITUTE(TRIM(I45),"T"," "),"Z","")),
    IFERROR(
      DATE(
        RIGHT(TRIM(I45),4),
        MID(TRIM(I45),4,2),
        LEFT(TRIM(I45),2)
      ),
      DATE(
        VALUE(RIGHT(TRIM(I45),4)),
        MATCH(LEFT(TRIM(I45),FIND(" ",TRIM(I45))-1),
          {"January","February","March","April","May","June","July","August","September","October","November","December"},0),
        VALUE(MID(TRIM(I45),
          FIND(" ",TRIM(I45))+1,
          FIND(" ",TRIM(I45),FIND(" ",TRIM(I45))+1)-FIND(" ",TRIM(I45))-1))
      )
    )
  ),
"yyyy-mm-dd")</f>
        <v>2023-08-19</v>
      </c>
      <c r="K45" s="5" t="str">
        <f t="shared" si="4"/>
        <v>Aug</v>
      </c>
      <c r="L45">
        <v>1697749443</v>
      </c>
      <c r="M45" s="11">
        <f t="shared" si="5"/>
        <v>45218.877812499995</v>
      </c>
      <c r="O45" s="7">
        <f t="shared" si="6"/>
        <v>0</v>
      </c>
      <c r="P45" t="s">
        <v>46</v>
      </c>
      <c r="Q45" s="7" t="str">
        <f t="shared" si="7"/>
        <v>Corporate account</v>
      </c>
    </row>
    <row r="46" spans="1:17">
      <c r="A46">
        <v>1993</v>
      </c>
      <c r="B46" t="s">
        <v>114</v>
      </c>
      <c r="C46" s="9" t="str">
        <f t="shared" si="0"/>
        <v>Liam O’Connor</v>
      </c>
      <c r="D46" s="7" t="str">
        <f t="shared" si="1"/>
        <v xml:space="preserve"> Liam O’Connor </v>
      </c>
      <c r="E46">
        <v>22</v>
      </c>
      <c r="F46" s="7">
        <f t="shared" si="2"/>
        <v>22</v>
      </c>
      <c r="G46" t="s">
        <v>102</v>
      </c>
      <c r="H46" s="7" t="str">
        <f t="shared" si="3"/>
        <v>Mexico</v>
      </c>
      <c r="I46" t="s">
        <v>108</v>
      </c>
      <c r="J46" s="7" t="str">
        <f>TEXT(
  IFERROR(
    DATEVALUE(SUBSTITUTE(SUBSTITUTE(TRIM(I46),"T"," "),"Z","")),
    IFERROR(
      DATE(
        RIGHT(TRIM(I46),4),
        MID(TRIM(I46),4,2),
        LEFT(TRIM(I46),2)
      ),
      DATE(
        VALUE(RIGHT(TRIM(I46),4)),
        MATCH(LEFT(TRIM(I46),FIND(" ",TRIM(I46))-1),
          {"January","February","March","April","May","June","July","August","September","October","November","December"},0),
        VALUE(MID(TRIM(I46),
          FIND(" ",TRIM(I46))+1,
          FIND(" ",TRIM(I46),FIND(" ",TRIM(I46))+1)-FIND(" ",TRIM(I46))-1))
      )
    )
  ),
"yyyy-mm-dd")</f>
        <v>2023-01-05</v>
      </c>
      <c r="K46" s="5" t="str">
        <f t="shared" si="4"/>
        <v>Jan</v>
      </c>
      <c r="L46">
        <v>1683793173</v>
      </c>
      <c r="M46" s="11">
        <f t="shared" si="5"/>
        <v>45057.346909722226</v>
      </c>
      <c r="N46">
        <v>486.37</v>
      </c>
      <c r="O46" s="7">
        <f t="shared" si="6"/>
        <v>486.37</v>
      </c>
      <c r="P46" t="s">
        <v>33</v>
      </c>
      <c r="Q46" s="7" t="str">
        <f t="shared" si="7"/>
        <v>Frequent buyer n</v>
      </c>
    </row>
    <row r="47" spans="1:17">
      <c r="A47">
        <v>1309</v>
      </c>
      <c r="B47" t="s">
        <v>72</v>
      </c>
      <c r="C47" s="9" t="str">
        <f t="shared" si="0"/>
        <v>Emily Davis</v>
      </c>
      <c r="D47" s="7" t="str">
        <f t="shared" si="1"/>
        <v>Emily Davis</v>
      </c>
      <c r="E47">
        <v>27</v>
      </c>
      <c r="F47" s="7">
        <f t="shared" si="2"/>
        <v>27</v>
      </c>
      <c r="G47" t="s">
        <v>29</v>
      </c>
      <c r="H47" s="7" t="str">
        <f t="shared" si="3"/>
        <v>United States</v>
      </c>
      <c r="I47" t="s">
        <v>115</v>
      </c>
      <c r="J47" s="7" t="str">
        <f>TEXT(
  IFERROR(
    DATEVALUE(SUBSTITUTE(SUBSTITUTE(TRIM(I47),"T"," "),"Z","")),
    IFERROR(
      DATE(
        RIGHT(TRIM(I47),4),
        MID(TRIM(I47),4,2),
        LEFT(TRIM(I47),2)
      ),
      DATE(
        VALUE(RIGHT(TRIM(I47),4)),
        MATCH(LEFT(TRIM(I47),FIND(" ",TRIM(I47))-1),
          {"January","February","March","April","May","June","July","August","September","October","November","December"},0),
        VALUE(MID(TRIM(I47),
          FIND(" ",TRIM(I47))+1,
          FIND(" ",TRIM(I47),FIND(" ",TRIM(I47))+1)-FIND(" ",TRIM(I47))-1))
      )
    )
  ),
"yyyy-mm-dd")</f>
        <v>2023-08-01</v>
      </c>
      <c r="K47" s="5" t="str">
        <f t="shared" si="4"/>
        <v>Aug</v>
      </c>
      <c r="L47">
        <v>1683626537</v>
      </c>
      <c r="M47" s="11">
        <f t="shared" si="5"/>
        <v>45055.418252314819</v>
      </c>
      <c r="O47" s="7">
        <f t="shared" si="6"/>
        <v>0</v>
      </c>
      <c r="P47" t="s">
        <v>20</v>
      </c>
      <c r="Q47" s="7" t="str">
        <f t="shared" si="7"/>
        <v xml:space="preserve">Great customer </v>
      </c>
    </row>
    <row r="48" spans="1:17">
      <c r="A48">
        <v>1424</v>
      </c>
      <c r="B48" t="s">
        <v>74</v>
      </c>
      <c r="C48" s="9" t="str">
        <f t="shared" si="0"/>
        <v>Sofia Rossi</v>
      </c>
      <c r="D48" s="7" t="str">
        <f t="shared" si="1"/>
        <v>Sofia Rossi</v>
      </c>
      <c r="E48">
        <v>55</v>
      </c>
      <c r="F48" s="7">
        <f t="shared" si="2"/>
        <v>55</v>
      </c>
      <c r="G48" t="s">
        <v>116</v>
      </c>
      <c r="H48" s="7" t="str">
        <f t="shared" si="3"/>
        <v>China</v>
      </c>
      <c r="I48" t="s">
        <v>117</v>
      </c>
      <c r="J48" s="7" t="str">
        <f>TEXT(
  IFERROR(
    DATEVALUE(SUBSTITUTE(SUBSTITUTE(TRIM(I48),"T"," "),"Z","")),
    IFERROR(
      DATE(
        RIGHT(TRIM(I48),4),
        MID(TRIM(I48),4,2),
        LEFT(TRIM(I48),2)
      ),
      DATE(
        VALUE(RIGHT(TRIM(I48),4)),
        MATCH(LEFT(TRIM(I48),FIND(" ",TRIM(I48))-1),
          {"January","February","March","April","May","June","July","August","September","October","November","December"},0),
        VALUE(MID(TRIM(I48),
          FIND(" ",TRIM(I48))+1,
          FIND(" ",TRIM(I48),FIND(" ",TRIM(I48))+1)-FIND(" ",TRIM(I48))-1))
      )
    )
  ),
"yyyy-mm-dd")</f>
        <v>2023-09-02</v>
      </c>
      <c r="K48" s="5" t="str">
        <f t="shared" si="4"/>
        <v>Sep</v>
      </c>
      <c r="L48">
        <v>1684327066</v>
      </c>
      <c r="M48" s="11">
        <f t="shared" si="5"/>
        <v>45063.526226851856</v>
      </c>
      <c r="O48" s="7">
        <f t="shared" si="6"/>
        <v>0</v>
      </c>
      <c r="P48" t="s">
        <v>118</v>
      </c>
      <c r="Q48" s="7" t="str">
        <f t="shared" si="7"/>
        <v>High engagement</v>
      </c>
    </row>
    <row r="49" spans="1:17">
      <c r="A49">
        <v>2103</v>
      </c>
      <c r="B49" t="s">
        <v>88</v>
      </c>
      <c r="C49" s="9" t="str">
        <f t="shared" si="0"/>
        <v>André Santos</v>
      </c>
      <c r="D49" s="7" t="str">
        <f t="shared" si="1"/>
        <v>André Santos</v>
      </c>
      <c r="F49" s="7">
        <f t="shared" si="2"/>
        <v>43</v>
      </c>
      <c r="G49" t="s">
        <v>38</v>
      </c>
      <c r="H49" s="7" t="str">
        <f t="shared" si="3"/>
        <v>Spain</v>
      </c>
      <c r="I49" t="s">
        <v>119</v>
      </c>
      <c r="J49" s="7" t="str">
        <f>TEXT(
  IFERROR(
    DATEVALUE(SUBSTITUTE(SUBSTITUTE(TRIM(I49),"T"," "),"Z","")),
    IFERROR(
      DATE(
        RIGHT(TRIM(I49),4),
        MID(TRIM(I49),4,2),
        LEFT(TRIM(I49),2)
      ),
      DATE(
        VALUE(RIGHT(TRIM(I49),4)),
        MATCH(LEFT(TRIM(I49),FIND(" ",TRIM(I49))-1),
          {"January","February","March","April","May","June","July","August","September","October","November","December"},0),
        VALUE(MID(TRIM(I49),
          FIND(" ",TRIM(I49))+1,
          FIND(" ",TRIM(I49),FIND(" ",TRIM(I49))+1)-FIND(" ",TRIM(I49))-1))
      )
    )
  ),
"yyyy-mm-dd")</f>
        <v>2023-05-20</v>
      </c>
      <c r="K49" s="5" t="str">
        <f t="shared" si="4"/>
        <v>May</v>
      </c>
      <c r="L49">
        <v>1688819441</v>
      </c>
      <c r="M49" s="11">
        <f t="shared" si="5"/>
        <v>45115.521307870367</v>
      </c>
      <c r="O49" s="7">
        <f t="shared" si="6"/>
        <v>0</v>
      </c>
      <c r="P49" t="s">
        <v>118</v>
      </c>
      <c r="Q49" s="7" t="str">
        <f t="shared" si="7"/>
        <v>High engagement</v>
      </c>
    </row>
    <row r="50" spans="1:17">
      <c r="A50">
        <v>1946</v>
      </c>
      <c r="B50" t="s">
        <v>120</v>
      </c>
      <c r="C50" s="9" t="str">
        <f t="shared" si="0"/>
        <v>Sarah Johnson</v>
      </c>
      <c r="D50" s="7" t="str">
        <f t="shared" si="1"/>
        <v xml:space="preserve"> Sarah Johnson </v>
      </c>
      <c r="E50">
        <v>42</v>
      </c>
      <c r="F50" s="7">
        <f t="shared" si="2"/>
        <v>42</v>
      </c>
      <c r="G50" t="s">
        <v>111</v>
      </c>
      <c r="H50" s="7" t="str">
        <f t="shared" si="3"/>
        <v>South Korea</v>
      </c>
      <c r="I50" t="s">
        <v>121</v>
      </c>
      <c r="J50" s="7" t="str">
        <f>TEXT(
  IFERROR(
    DATEVALUE(SUBSTITUTE(SUBSTITUTE(TRIM(I50),"T"," "),"Z","")),
    IFERROR(
      DATE(
        RIGHT(TRIM(I50),4),
        MID(TRIM(I50),4,2),
        LEFT(TRIM(I50),2)
      ),
      DATE(
        VALUE(RIGHT(TRIM(I50),4)),
        MATCH(LEFT(TRIM(I50),FIND(" ",TRIM(I50))-1),
          {"January","February","March","April","May","June","July","August","September","October","November","December"},0),
        VALUE(MID(TRIM(I50),
          FIND(" ",TRIM(I50))+1,
          FIND(" ",TRIM(I50),FIND(" ",TRIM(I50))+1)-FIND(" ",TRIM(I50))-1))
      )
    )
  ),
"yyyy-mm-dd")</f>
        <v>2023-06-17</v>
      </c>
      <c r="K50" s="5" t="str">
        <f t="shared" si="4"/>
        <v>Jun</v>
      </c>
      <c r="L50">
        <v>1698066630</v>
      </c>
      <c r="M50" s="11">
        <f t="shared" si="5"/>
        <v>45222.548958333333</v>
      </c>
      <c r="O50" s="7">
        <f t="shared" si="6"/>
        <v>0</v>
      </c>
      <c r="P50" t="s">
        <v>118</v>
      </c>
      <c r="Q50" s="7" t="str">
        <f t="shared" si="7"/>
        <v>High engagement</v>
      </c>
    </row>
    <row r="51" spans="1:17">
      <c r="A51">
        <v>1517</v>
      </c>
      <c r="B51" t="s">
        <v>47</v>
      </c>
      <c r="C51" s="9" t="str">
        <f t="shared" si="0"/>
        <v>Li Wei</v>
      </c>
      <c r="D51" s="7" t="str">
        <f t="shared" si="1"/>
        <v>Li Wei</v>
      </c>
      <c r="E51">
        <v>65</v>
      </c>
      <c r="F51" s="7">
        <f t="shared" si="2"/>
        <v>65</v>
      </c>
      <c r="G51" t="s">
        <v>122</v>
      </c>
      <c r="H51" s="7" t="str">
        <f t="shared" si="3"/>
        <v>Italy</v>
      </c>
      <c r="I51" t="s">
        <v>96</v>
      </c>
      <c r="J51" s="7" t="str">
        <f>TEXT(
  IFERROR(
    DATEVALUE(SUBSTITUTE(SUBSTITUTE(TRIM(I51),"T"," "),"Z","")),
    IFERROR(
      DATE(
        RIGHT(TRIM(I51),4),
        MID(TRIM(I51),4,2),
        LEFT(TRIM(I51),2)
      ),
      DATE(
        VALUE(RIGHT(TRIM(I51),4)),
        MATCH(LEFT(TRIM(I51),FIND(" ",TRIM(I51))-1),
          {"January","February","March","April","May","June","July","August","September","October","November","December"},0),
        VALUE(MID(TRIM(I51),
          FIND(" ",TRIM(I51))+1,
          FIND(" ",TRIM(I51),FIND(" ",TRIM(I51))+1)-FIND(" ",TRIM(I51))-1))
      )
    )
  ),
"yyyy-mm-dd")</f>
        <v>2023-04-25</v>
      </c>
      <c r="K51" s="5" t="str">
        <f t="shared" si="4"/>
        <v>Apr</v>
      </c>
      <c r="L51">
        <v>1698737831</v>
      </c>
      <c r="M51" s="11">
        <f t="shared" si="5"/>
        <v>45230.317488425921</v>
      </c>
      <c r="N51">
        <v>1436.36</v>
      </c>
      <c r="O51" s="7">
        <f t="shared" si="6"/>
        <v>1436.36</v>
      </c>
      <c r="P51" t="s">
        <v>20</v>
      </c>
      <c r="Q51" s="7" t="str">
        <f t="shared" si="7"/>
        <v xml:space="preserve">Great customer </v>
      </c>
    </row>
    <row r="52" spans="1:17">
      <c r="A52">
        <v>1507</v>
      </c>
      <c r="B52" t="s">
        <v>104</v>
      </c>
      <c r="C52" s="9" t="str">
        <f t="shared" si="0"/>
        <v>David Brown</v>
      </c>
      <c r="D52" s="7" t="str">
        <f t="shared" si="1"/>
        <v>David Brown</v>
      </c>
      <c r="E52">
        <v>57</v>
      </c>
      <c r="F52" s="7">
        <f t="shared" si="2"/>
        <v>57</v>
      </c>
      <c r="G52" t="s">
        <v>18</v>
      </c>
      <c r="H52" s="7" t="str">
        <f t="shared" si="3"/>
        <v>United Kingdom</v>
      </c>
      <c r="I52" t="s">
        <v>123</v>
      </c>
      <c r="J52" s="7" t="str">
        <f>TEXT(
  IFERROR(
    DATEVALUE(SUBSTITUTE(SUBSTITUTE(TRIM(I52),"T"," "),"Z","")),
    IFERROR(
      DATE(
        RIGHT(TRIM(I52),4),
        MID(TRIM(I52),4,2),
        LEFT(TRIM(I52),2)
      ),
      DATE(
        VALUE(RIGHT(TRIM(I52),4)),
        MATCH(LEFT(TRIM(I52),FIND(" ",TRIM(I52))-1),
          {"January","February","March","April","May","June","July","August","September","October","November","December"},0),
        VALUE(MID(TRIM(I52),
          FIND(" ",TRIM(I52))+1,
          FIND(" ",TRIM(I52),FIND(" ",TRIM(I52))+1)-FIND(" ",TRIM(I52))-1))
      )
    )
  ),
"yyyy-mm-dd")</f>
        <v>2023-08-31</v>
      </c>
      <c r="K52" s="5" t="str">
        <f t="shared" si="4"/>
        <v>Aug</v>
      </c>
      <c r="L52">
        <v>1691447678</v>
      </c>
      <c r="M52" s="11">
        <f t="shared" si="5"/>
        <v>45145.940717592588</v>
      </c>
      <c r="O52" s="7">
        <f t="shared" si="6"/>
        <v>0</v>
      </c>
      <c r="P52" t="s">
        <v>58</v>
      </c>
      <c r="Q52" s="7" t="str">
        <f t="shared" si="7"/>
        <v>Student account</v>
      </c>
    </row>
    <row r="53" spans="1:17">
      <c r="A53">
        <v>1756</v>
      </c>
      <c r="B53" t="s">
        <v>124</v>
      </c>
      <c r="C53" s="9" t="str">
        <f t="shared" si="0"/>
        <v>Sarah Johnson</v>
      </c>
      <c r="D53" s="7" t="str">
        <f t="shared" si="1"/>
        <v>Sarah Johnson</v>
      </c>
      <c r="E53">
        <v>65</v>
      </c>
      <c r="F53" s="7">
        <f t="shared" si="2"/>
        <v>65</v>
      </c>
      <c r="G53" t="s">
        <v>48</v>
      </c>
      <c r="H53" s="7" t="str">
        <f t="shared" si="3"/>
        <v>France</v>
      </c>
      <c r="I53" t="s">
        <v>125</v>
      </c>
      <c r="J53" s="7" t="str">
        <f>TEXT(
  IFERROR(
    DATEVALUE(SUBSTITUTE(SUBSTITUTE(TRIM(I53),"T"," "),"Z","")),
    IFERROR(
      DATE(
        RIGHT(TRIM(I53),4),
        MID(TRIM(I53),4,2),
        LEFT(TRIM(I53),2)
      ),
      DATE(
        VALUE(RIGHT(TRIM(I53),4)),
        MATCH(LEFT(TRIM(I53),FIND(" ",TRIM(I53))-1),
          {"January","February","March","April","May","June","July","August","September","October","November","December"},0),
        VALUE(MID(TRIM(I53),
          FIND(" ",TRIM(I53))+1,
          FIND(" ",TRIM(I53),FIND(" ",TRIM(I53))+1)-FIND(" ",TRIM(I53))-1))
      )
    )
  ),
"yyyy-mm-dd")</f>
        <v>2023-06-09</v>
      </c>
      <c r="K53" s="5" t="str">
        <f t="shared" si="4"/>
        <v>Jun</v>
      </c>
      <c r="L53">
        <v>1691941437</v>
      </c>
      <c r="M53" s="11">
        <f t="shared" si="5"/>
        <v>45151.65552083333</v>
      </c>
      <c r="O53" s="7">
        <f t="shared" si="6"/>
        <v>0</v>
      </c>
      <c r="P53" t="s">
        <v>27</v>
      </c>
      <c r="Q53" s="7" t="str">
        <f t="shared" si="7"/>
        <v xml:space="preserve">Holiday signup </v>
      </c>
    </row>
    <row r="54" spans="1:17">
      <c r="A54">
        <v>1769</v>
      </c>
      <c r="B54" t="s">
        <v>126</v>
      </c>
      <c r="C54" s="9" t="str">
        <f t="shared" si="0"/>
        <v>Noah Martin</v>
      </c>
      <c r="D54" s="7" t="str">
        <f t="shared" si="1"/>
        <v>Noah Martin</v>
      </c>
      <c r="E54">
        <v>22</v>
      </c>
      <c r="F54" s="7">
        <f t="shared" si="2"/>
        <v>22</v>
      </c>
      <c r="G54" t="s">
        <v>38</v>
      </c>
      <c r="H54" s="7" t="str">
        <f t="shared" si="3"/>
        <v>Spain</v>
      </c>
      <c r="I54" t="s">
        <v>127</v>
      </c>
      <c r="J54" s="7" t="str">
        <f>TEXT(
  IFERROR(
    DATEVALUE(SUBSTITUTE(SUBSTITUTE(TRIM(I54),"T"," "),"Z","")),
    IFERROR(
      DATE(
        RIGHT(TRIM(I54),4),
        MID(TRIM(I54),4,2),
        LEFT(TRIM(I54),2)
      ),
      DATE(
        VALUE(RIGHT(TRIM(I54),4)),
        MATCH(LEFT(TRIM(I54),FIND(" ",TRIM(I54))-1),
          {"January","February","March","April","May","June","July","August","September","October","November","December"},0),
        VALUE(MID(TRIM(I54),
          FIND(" ",TRIM(I54))+1,
          FIND(" ",TRIM(I54),FIND(" ",TRIM(I54))+1)-FIND(" ",TRIM(I54))-1))
      )
    )
  ),
"yyyy-mm-dd")</f>
        <v>2023-02-22</v>
      </c>
      <c r="K54" s="5" t="str">
        <f t="shared" si="4"/>
        <v>Feb</v>
      </c>
      <c r="L54">
        <v>1701055106</v>
      </c>
      <c r="M54" s="11">
        <f t="shared" si="5"/>
        <v>45257.137800925921</v>
      </c>
      <c r="N54">
        <v>1029.55</v>
      </c>
      <c r="O54" s="7">
        <f t="shared" si="6"/>
        <v>1029.55</v>
      </c>
      <c r="P54" t="s">
        <v>27</v>
      </c>
      <c r="Q54" s="7" t="str">
        <f t="shared" si="7"/>
        <v xml:space="preserve">Holiday signup </v>
      </c>
    </row>
    <row r="55" spans="1:17">
      <c r="A55">
        <v>1085</v>
      </c>
      <c r="B55" t="s">
        <v>90</v>
      </c>
      <c r="C55" s="9" t="str">
        <f t="shared" si="0"/>
        <v>Olivia Wilson</v>
      </c>
      <c r="D55" s="7" t="str">
        <f t="shared" si="1"/>
        <v>Olivia Wilson</v>
      </c>
      <c r="E55">
        <v>60</v>
      </c>
      <c r="F55" s="7">
        <f t="shared" si="2"/>
        <v>60</v>
      </c>
      <c r="G55" t="s">
        <v>67</v>
      </c>
      <c r="H55" s="7" t="str">
        <f t="shared" si="3"/>
        <v>Sweden</v>
      </c>
      <c r="I55" t="s">
        <v>128</v>
      </c>
      <c r="J55" s="7" t="str">
        <f>TEXT(
  IFERROR(
    DATEVALUE(SUBSTITUTE(SUBSTITUTE(TRIM(I55),"T"," "),"Z","")),
    IFERROR(
      DATE(
        RIGHT(TRIM(I55),4),
        MID(TRIM(I55),4,2),
        LEFT(TRIM(I55),2)
      ),
      DATE(
        VALUE(RIGHT(TRIM(I55),4)),
        MATCH(LEFT(TRIM(I55),FIND(" ",TRIM(I55))-1),
          {"January","February","March","April","May","June","July","August","September","October","November","December"},0),
        VALUE(MID(TRIM(I55),
          FIND(" ",TRIM(I55))+1,
          FIND(" ",TRIM(I55),FIND(" ",TRIM(I55))+1)-FIND(" ",TRIM(I55))-1))
      )
    )
  ),
"yyyy-mm-dd")</f>
        <v>2023-11-28</v>
      </c>
      <c r="K55" s="5" t="str">
        <f t="shared" si="4"/>
        <v>Nov</v>
      </c>
      <c r="L55">
        <v>1672948535</v>
      </c>
      <c r="M55" s="11">
        <f t="shared" si="5"/>
        <v>44931.830266203702</v>
      </c>
      <c r="O55" s="7">
        <f t="shared" si="6"/>
        <v>0</v>
      </c>
      <c r="P55" t="s">
        <v>52</v>
      </c>
      <c r="Q55" s="7" t="str">
        <f t="shared" si="7"/>
        <v xml:space="preserve">Prefers email </v>
      </c>
    </row>
    <row r="56" spans="1:17">
      <c r="A56">
        <v>1888</v>
      </c>
      <c r="B56" t="s">
        <v>90</v>
      </c>
      <c r="C56" s="9" t="str">
        <f t="shared" si="0"/>
        <v>Olivia Wilson</v>
      </c>
      <c r="D56" s="7" t="str">
        <f t="shared" si="1"/>
        <v>Olivia Wilson</v>
      </c>
      <c r="E56">
        <v>47</v>
      </c>
      <c r="F56" s="7">
        <f t="shared" si="2"/>
        <v>47</v>
      </c>
      <c r="G56" t="s">
        <v>44</v>
      </c>
      <c r="H56" s="7" t="str">
        <f t="shared" si="3"/>
        <v>UAE</v>
      </c>
      <c r="I56" t="s">
        <v>129</v>
      </c>
      <c r="J56" s="7" t="str">
        <f>TEXT(
  IFERROR(
    DATEVALUE(SUBSTITUTE(SUBSTITUTE(TRIM(I56),"T"," "),"Z","")),
    IFERROR(
      DATE(
        RIGHT(TRIM(I56),4),
        MID(TRIM(I56),4,2),
        LEFT(TRIM(I56),2)
      ),
      DATE(
        VALUE(RIGHT(TRIM(I56),4)),
        MATCH(LEFT(TRIM(I56),FIND(" ",TRIM(I56))-1),
          {"January","February","March","April","May","June","July","August","September","October","November","December"},0),
        VALUE(MID(TRIM(I56),
          FIND(" ",TRIM(I56))+1,
          FIND(" ",TRIM(I56),FIND(" ",TRIM(I56))+1)-FIND(" ",TRIM(I56))-1))
      )
    )
  ),
"yyyy-mm-dd")</f>
        <v>2023-04-01</v>
      </c>
      <c r="K56" s="5" t="str">
        <f t="shared" si="4"/>
        <v>Apr</v>
      </c>
      <c r="L56">
        <v>1694349729</v>
      </c>
      <c r="M56" s="11">
        <f t="shared" si="5"/>
        <v>45179.529270833329</v>
      </c>
      <c r="O56" s="7">
        <f t="shared" si="6"/>
        <v>0</v>
      </c>
      <c r="P56" t="s">
        <v>36</v>
      </c>
      <c r="Q56" s="7" t="str">
        <f t="shared" si="7"/>
        <v>Regular shopper</v>
      </c>
    </row>
    <row r="57" spans="1:17">
      <c r="A57">
        <v>1893</v>
      </c>
      <c r="B57" t="s">
        <v>88</v>
      </c>
      <c r="C57" s="9" t="str">
        <f t="shared" si="0"/>
        <v>André Santos</v>
      </c>
      <c r="D57" s="7" t="str">
        <f t="shared" si="1"/>
        <v>André Santos</v>
      </c>
      <c r="E57">
        <v>38</v>
      </c>
      <c r="F57" s="7">
        <f t="shared" si="2"/>
        <v>38</v>
      </c>
      <c r="G57" t="s">
        <v>54</v>
      </c>
      <c r="H57" s="7" t="str">
        <f t="shared" si="3"/>
        <v>Brazil</v>
      </c>
      <c r="I57" t="s">
        <v>130</v>
      </c>
      <c r="J57" s="7" t="str">
        <f>TEXT(
  IFERROR(
    DATEVALUE(SUBSTITUTE(SUBSTITUTE(TRIM(I57),"T"," "),"Z","")),
    IFERROR(
      DATE(
        RIGHT(TRIM(I57),4),
        MID(TRIM(I57),4,2),
        LEFT(TRIM(I57),2)
      ),
      DATE(
        VALUE(RIGHT(TRIM(I57),4)),
        MATCH(LEFT(TRIM(I57),FIND(" ",TRIM(I57))-1),
          {"January","February","March","April","May","June","July","August","September","October","November","December"},0),
        VALUE(MID(TRIM(I57),
          FIND(" ",TRIM(I57))+1,
          FIND(" ",TRIM(I57),FIND(" ",TRIM(I57))+1)-FIND(" ",TRIM(I57))-1))
      )
    )
  ),
"yyyy-mm-dd")</f>
        <v>2023-08-19</v>
      </c>
      <c r="K57" s="5" t="str">
        <f t="shared" si="4"/>
        <v>Aug</v>
      </c>
      <c r="L57">
        <v>1697705805</v>
      </c>
      <c r="M57" s="11">
        <f t="shared" si="5"/>
        <v>45218.372743055559</v>
      </c>
      <c r="O57" s="7">
        <f t="shared" si="6"/>
        <v>0</v>
      </c>
      <c r="P57" t="s">
        <v>84</v>
      </c>
      <c r="Q57" s="7" t="str">
        <f t="shared" si="7"/>
        <v xml:space="preserve">Newsletter subscriber </v>
      </c>
    </row>
    <row r="58" spans="1:17">
      <c r="A58">
        <v>1059</v>
      </c>
      <c r="B58" t="s">
        <v>131</v>
      </c>
      <c r="C58" s="9" t="str">
        <f t="shared" si="0"/>
        <v>Isabella Martinez</v>
      </c>
      <c r="D58" s="7" t="str">
        <f t="shared" si="1"/>
        <v>Isabella Martinez</v>
      </c>
      <c r="E58">
        <v>29</v>
      </c>
      <c r="F58" s="7">
        <f t="shared" si="2"/>
        <v>29</v>
      </c>
      <c r="G58" t="s">
        <v>122</v>
      </c>
      <c r="H58" s="7" t="str">
        <f t="shared" si="3"/>
        <v>Italy</v>
      </c>
      <c r="I58" t="s">
        <v>132</v>
      </c>
      <c r="J58" s="7" t="str">
        <f>TEXT(
  IFERROR(
    DATEVALUE(SUBSTITUTE(SUBSTITUTE(TRIM(I58),"T"," "),"Z","")),
    IFERROR(
      DATE(
        RIGHT(TRIM(I58),4),
        MID(TRIM(I58),4,2),
        LEFT(TRIM(I58),2)
      ),
      DATE(
        VALUE(RIGHT(TRIM(I58),4)),
        MATCH(LEFT(TRIM(I58),FIND(" ",TRIM(I58))-1),
          {"January","February","March","April","May","June","July","August","September","October","November","December"},0),
        VALUE(MID(TRIM(I58),
          FIND(" ",TRIM(I58))+1,
          FIND(" ",TRIM(I58),FIND(" ",TRIM(I58))+1)-FIND(" ",TRIM(I58))-1))
      )
    )
  ),
"yyyy-mm-dd")</f>
        <v>2023-05-13</v>
      </c>
      <c r="K58" s="5" t="str">
        <f t="shared" si="4"/>
        <v>May</v>
      </c>
      <c r="L58">
        <v>1681907781</v>
      </c>
      <c r="M58" s="11">
        <f t="shared" si="5"/>
        <v>45035.525243055556</v>
      </c>
      <c r="O58" s="7">
        <f t="shared" si="6"/>
        <v>0</v>
      </c>
      <c r="P58" t="s">
        <v>46</v>
      </c>
      <c r="Q58" s="7" t="str">
        <f t="shared" si="7"/>
        <v>Corporate account</v>
      </c>
    </row>
    <row r="59" spans="1:17">
      <c r="A59">
        <v>1021</v>
      </c>
      <c r="B59" t="s">
        <v>80</v>
      </c>
      <c r="C59" s="9" t="str">
        <f t="shared" si="0"/>
        <v>Ahmed Hassan</v>
      </c>
      <c r="D59" s="7" t="str">
        <f t="shared" si="1"/>
        <v>Ahmed Hassan</v>
      </c>
      <c r="E59">
        <v>33</v>
      </c>
      <c r="F59" s="7">
        <f t="shared" si="2"/>
        <v>33</v>
      </c>
      <c r="G59" t="s">
        <v>44</v>
      </c>
      <c r="H59" s="7" t="str">
        <f t="shared" si="3"/>
        <v>UAE</v>
      </c>
      <c r="I59" t="s">
        <v>133</v>
      </c>
      <c r="J59" s="7" t="str">
        <f>TEXT(
  IFERROR(
    DATEVALUE(SUBSTITUTE(SUBSTITUTE(TRIM(I59),"T"," "),"Z","")),
    IFERROR(
      DATE(
        RIGHT(TRIM(I59),4),
        MID(TRIM(I59),4,2),
        LEFT(TRIM(I59),2)
      ),
      DATE(
        VALUE(RIGHT(TRIM(I59),4)),
        MATCH(LEFT(TRIM(I59),FIND(" ",TRIM(I59))-1),
          {"January","February","March","April","May","June","July","August","September","October","November","December"},0),
        VALUE(MID(TRIM(I59),
          FIND(" ",TRIM(I59))+1,
          FIND(" ",TRIM(I59),FIND(" ",TRIM(I59))+1)-FIND(" ",TRIM(I59))-1))
      )
    )
  ),
"yyyy-mm-dd")</f>
        <v>2023-09-08</v>
      </c>
      <c r="K59" s="5" t="str">
        <f t="shared" si="4"/>
        <v>Sep</v>
      </c>
      <c r="L59">
        <v>1697963784</v>
      </c>
      <c r="M59" s="11">
        <f t="shared" si="5"/>
        <v>45221.358611111107</v>
      </c>
      <c r="O59" s="7">
        <f t="shared" si="6"/>
        <v>0</v>
      </c>
      <c r="P59" t="s">
        <v>36</v>
      </c>
      <c r="Q59" s="7" t="str">
        <f t="shared" si="7"/>
        <v>Regular shopper</v>
      </c>
    </row>
    <row r="60" spans="1:17">
      <c r="A60">
        <v>1918</v>
      </c>
      <c r="B60" t="s">
        <v>94</v>
      </c>
      <c r="C60" s="9" t="str">
        <f t="shared" si="0"/>
        <v>John Smith</v>
      </c>
      <c r="D60" s="7" t="str">
        <f t="shared" si="1"/>
        <v xml:space="preserve"> John Smith </v>
      </c>
      <c r="E60">
        <v>43</v>
      </c>
      <c r="F60" s="7">
        <f t="shared" si="2"/>
        <v>43</v>
      </c>
      <c r="G60" t="s">
        <v>38</v>
      </c>
      <c r="H60" s="7" t="str">
        <f t="shared" si="3"/>
        <v>Spain</v>
      </c>
      <c r="I60" t="s">
        <v>134</v>
      </c>
      <c r="J60" s="7" t="str">
        <f>TEXT(
  IFERROR(
    DATEVALUE(SUBSTITUTE(SUBSTITUTE(TRIM(I60),"T"," "),"Z","")),
    IFERROR(
      DATE(
        RIGHT(TRIM(I60),4),
        MID(TRIM(I60),4,2),
        LEFT(TRIM(I60),2)
      ),
      DATE(
        VALUE(RIGHT(TRIM(I60),4)),
        MATCH(LEFT(TRIM(I60),FIND(" ",TRIM(I60))-1),
          {"January","February","March","April","May","June","July","August","September","October","November","December"},0),
        VALUE(MID(TRIM(I60),
          FIND(" ",TRIM(I60))+1,
          FIND(" ",TRIM(I60),FIND(" ",TRIM(I60))+1)-FIND(" ",TRIM(I60))-1))
      )
    )
  ),
"yyyy-mm-dd")</f>
        <v>2023-06-06</v>
      </c>
      <c r="K60" s="5" t="str">
        <f t="shared" si="4"/>
        <v>Jun</v>
      </c>
      <c r="L60">
        <v>1684906271</v>
      </c>
      <c r="M60" s="11">
        <f t="shared" si="5"/>
        <v>45070.229988425926</v>
      </c>
      <c r="O60" s="7">
        <f t="shared" si="6"/>
        <v>0</v>
      </c>
      <c r="P60" t="s">
        <v>118</v>
      </c>
      <c r="Q60" s="7" t="str">
        <f t="shared" si="7"/>
        <v>High engagement</v>
      </c>
    </row>
    <row r="61" spans="1:17">
      <c r="A61">
        <v>2128</v>
      </c>
      <c r="B61" t="s">
        <v>41</v>
      </c>
      <c r="C61" s="9" t="str">
        <f t="shared" si="0"/>
        <v>Lucas Silva</v>
      </c>
      <c r="D61" s="7" t="str">
        <f t="shared" si="1"/>
        <v>Lucas Silva</v>
      </c>
      <c r="F61" s="7">
        <f t="shared" si="2"/>
        <v>43</v>
      </c>
      <c r="G61" t="s">
        <v>54</v>
      </c>
      <c r="H61" s="7" t="str">
        <f t="shared" si="3"/>
        <v>Brazil</v>
      </c>
      <c r="I61" t="s">
        <v>135</v>
      </c>
      <c r="J61" s="7" t="str">
        <f>TEXT(
  IFERROR(
    DATEVALUE(SUBSTITUTE(SUBSTITUTE(TRIM(I61),"T"," "),"Z","")),
    IFERROR(
      DATE(
        RIGHT(TRIM(I61),4),
        MID(TRIM(I61),4,2),
        LEFT(TRIM(I61),2)
      ),
      DATE(
        VALUE(RIGHT(TRIM(I61),4)),
        MATCH(LEFT(TRIM(I61),FIND(" ",TRIM(I61))-1),
          {"January","February","March","April","May","June","July","August","September","October","November","December"},0),
        VALUE(MID(TRIM(I61),
          FIND(" ",TRIM(I61))+1,
          FIND(" ",TRIM(I61),FIND(" ",TRIM(I61))+1)-FIND(" ",TRIM(I61))-1))
      )
    )
  ),
"yyyy-mm-dd")</f>
        <v>2023-04-29</v>
      </c>
      <c r="K61" s="5" t="str">
        <f t="shared" si="4"/>
        <v>Apr</v>
      </c>
      <c r="L61">
        <v>1696726286</v>
      </c>
      <c r="M61" s="11">
        <f t="shared" si="5"/>
        <v>45207.035717592589</v>
      </c>
      <c r="N61">
        <v>296.95</v>
      </c>
      <c r="O61" s="7">
        <f t="shared" si="6"/>
        <v>296.95</v>
      </c>
      <c r="P61" t="s">
        <v>46</v>
      </c>
      <c r="Q61" s="7" t="str">
        <f t="shared" si="7"/>
        <v>Corporate account</v>
      </c>
    </row>
    <row r="62" spans="1:17">
      <c r="A62">
        <v>1380</v>
      </c>
      <c r="B62" t="s">
        <v>21</v>
      </c>
      <c r="C62" s="9" t="str">
        <f t="shared" si="0"/>
        <v>David Brown</v>
      </c>
      <c r="D62" s="7" t="str">
        <f t="shared" si="1"/>
        <v xml:space="preserve"> David Brown </v>
      </c>
      <c r="E62">
        <v>35</v>
      </c>
      <c r="F62" s="7">
        <f t="shared" si="2"/>
        <v>35</v>
      </c>
      <c r="G62" t="s">
        <v>67</v>
      </c>
      <c r="H62" s="7" t="str">
        <f t="shared" si="3"/>
        <v>Sweden</v>
      </c>
      <c r="I62" t="s">
        <v>136</v>
      </c>
      <c r="J62" s="7" t="str">
        <f>TEXT(
  IFERROR(
    DATEVALUE(SUBSTITUTE(SUBSTITUTE(TRIM(I62),"T"," "),"Z","")),
    IFERROR(
      DATE(
        RIGHT(TRIM(I62),4),
        MID(TRIM(I62),4,2),
        LEFT(TRIM(I62),2)
      ),
      DATE(
        VALUE(RIGHT(TRIM(I62),4)),
        MATCH(LEFT(TRIM(I62),FIND(" ",TRIM(I62))-1),
          {"January","February","March","April","May","June","July","August","September","October","November","December"},0),
        VALUE(MID(TRIM(I62),
          FIND(" ",TRIM(I62))+1,
          FIND(" ",TRIM(I62),FIND(" ",TRIM(I62))+1)-FIND(" ",TRIM(I62))-1))
      )
    )
  ),
"yyyy-mm-dd")</f>
        <v>2023-02-11</v>
      </c>
      <c r="K62" s="5" t="str">
        <f t="shared" si="4"/>
        <v>Feb</v>
      </c>
      <c r="L62">
        <v>1675897096</v>
      </c>
      <c r="M62" s="11">
        <f t="shared" si="5"/>
        <v>44965.957129629634</v>
      </c>
      <c r="O62" s="7">
        <f t="shared" si="6"/>
        <v>0</v>
      </c>
      <c r="P62" t="s">
        <v>40</v>
      </c>
      <c r="Q62" s="7" t="str">
        <f t="shared" si="7"/>
        <v xml:space="preserve">VIP client </v>
      </c>
    </row>
    <row r="63" spans="1:17">
      <c r="A63">
        <v>1740</v>
      </c>
      <c r="B63" t="s">
        <v>124</v>
      </c>
      <c r="C63" s="9" t="str">
        <f t="shared" si="0"/>
        <v>Sarah Johnson</v>
      </c>
      <c r="D63" s="7" t="str">
        <f t="shared" si="1"/>
        <v>Sarah Johnson</v>
      </c>
      <c r="E63">
        <v>63</v>
      </c>
      <c r="F63" s="7">
        <f t="shared" si="2"/>
        <v>63</v>
      </c>
      <c r="G63" t="s">
        <v>54</v>
      </c>
      <c r="H63" s="7" t="str">
        <f t="shared" si="3"/>
        <v>Brazil</v>
      </c>
      <c r="I63" t="s">
        <v>137</v>
      </c>
      <c r="J63" s="7" t="str">
        <f>TEXT(
  IFERROR(
    DATEVALUE(SUBSTITUTE(SUBSTITUTE(TRIM(I63),"T"," "),"Z","")),
    IFERROR(
      DATE(
        RIGHT(TRIM(I63),4),
        MID(TRIM(I63),4,2),
        LEFT(TRIM(I63),2)
      ),
      DATE(
        VALUE(RIGHT(TRIM(I63),4)),
        MATCH(LEFT(TRIM(I63),FIND(" ",TRIM(I63))-1),
          {"January","February","March","April","May","June","July","August","September","October","November","December"},0),
        VALUE(MID(TRIM(I63),
          FIND(" ",TRIM(I63))+1,
          FIND(" ",TRIM(I63),FIND(" ",TRIM(I63))+1)-FIND(" ",TRIM(I63))-1))
      )
    )
  ),
"yyyy-mm-dd")</f>
        <v>2023-01-24</v>
      </c>
      <c r="K63" s="5" t="str">
        <f t="shared" si="4"/>
        <v>Jan</v>
      </c>
      <c r="L63">
        <v>1691091645</v>
      </c>
      <c r="M63" s="11">
        <f t="shared" si="5"/>
        <v>45141.819965277777</v>
      </c>
      <c r="N63">
        <v>445.28</v>
      </c>
      <c r="O63" s="7">
        <f t="shared" si="6"/>
        <v>445.28</v>
      </c>
      <c r="P63" t="s">
        <v>36</v>
      </c>
      <c r="Q63" s="7" t="str">
        <f t="shared" si="7"/>
        <v>Regular shopper</v>
      </c>
    </row>
    <row r="64" spans="1:17">
      <c r="A64">
        <v>1211</v>
      </c>
      <c r="B64" t="s">
        <v>17</v>
      </c>
      <c r="C64" s="9" t="str">
        <f t="shared" si="0"/>
        <v>John Smith</v>
      </c>
      <c r="D64" s="7" t="str">
        <f t="shared" si="1"/>
        <v>John Smith</v>
      </c>
      <c r="F64" s="7">
        <f t="shared" si="2"/>
        <v>43</v>
      </c>
      <c r="G64" t="s">
        <v>25</v>
      </c>
      <c r="H64" s="7" t="str">
        <f t="shared" si="3"/>
        <v>Japan</v>
      </c>
      <c r="I64" t="s">
        <v>138</v>
      </c>
      <c r="J64" s="7" t="str">
        <f>TEXT(
  IFERROR(
    DATEVALUE(SUBSTITUTE(SUBSTITUTE(TRIM(I64),"T"," "),"Z","")),
    IFERROR(
      DATE(
        RIGHT(TRIM(I64),4),
        MID(TRIM(I64),4,2),
        LEFT(TRIM(I64),2)
      ),
      DATE(
        VALUE(RIGHT(TRIM(I64),4)),
        MATCH(LEFT(TRIM(I64),FIND(" ",TRIM(I64))-1),
          {"January","February","March","April","May","June","July","August","September","October","November","December"},0),
        VALUE(MID(TRIM(I64),
          FIND(" ",TRIM(I64))+1,
          FIND(" ",TRIM(I64),FIND(" ",TRIM(I64))+1)-FIND(" ",TRIM(I64))-1))
      )
    )
  ),
"yyyy-mm-dd")</f>
        <v>2023-04-05</v>
      </c>
      <c r="K64" s="5" t="str">
        <f t="shared" si="4"/>
        <v>Apr</v>
      </c>
      <c r="L64">
        <v>1680995768</v>
      </c>
      <c r="M64" s="11">
        <f t="shared" si="5"/>
        <v>45024.969537037032</v>
      </c>
      <c r="O64" s="7">
        <f t="shared" si="6"/>
        <v>0</v>
      </c>
      <c r="P64" t="s">
        <v>52</v>
      </c>
      <c r="Q64" s="7" t="str">
        <f t="shared" si="7"/>
        <v xml:space="preserve">Prefers email </v>
      </c>
    </row>
    <row r="65" spans="1:17">
      <c r="A65">
        <v>1134</v>
      </c>
      <c r="B65" t="s">
        <v>126</v>
      </c>
      <c r="C65" s="9" t="str">
        <f t="shared" si="0"/>
        <v>Noah Martin</v>
      </c>
      <c r="D65" s="7" t="str">
        <f t="shared" si="1"/>
        <v>Noah Martin</v>
      </c>
      <c r="E65">
        <v>58</v>
      </c>
      <c r="F65" s="7">
        <f t="shared" si="2"/>
        <v>58</v>
      </c>
      <c r="G65" t="s">
        <v>29</v>
      </c>
      <c r="H65" s="7" t="str">
        <f t="shared" si="3"/>
        <v>United States</v>
      </c>
      <c r="I65" t="s">
        <v>139</v>
      </c>
      <c r="J65" s="7" t="str">
        <f>TEXT(
  IFERROR(
    DATEVALUE(SUBSTITUTE(SUBSTITUTE(TRIM(I65),"T"," "),"Z","")),
    IFERROR(
      DATE(
        RIGHT(TRIM(I65),4),
        MID(TRIM(I65),4,2),
        LEFT(TRIM(I65),2)
      ),
      DATE(
        VALUE(RIGHT(TRIM(I65),4)),
        MATCH(LEFT(TRIM(I65),FIND(" ",TRIM(I65))-1),
          {"January","February","March","April","May","June","July","August","September","October","November","December"},0),
        VALUE(MID(TRIM(I65),
          FIND(" ",TRIM(I65))+1,
          FIND(" ",TRIM(I65),FIND(" ",TRIM(I65))+1)-FIND(" ",TRIM(I65))-1))
      )
    )
  ),
"yyyy-mm-dd")</f>
        <v>2023-03-19</v>
      </c>
      <c r="K65" s="5" t="str">
        <f t="shared" si="4"/>
        <v>Mar</v>
      </c>
      <c r="L65">
        <v>1699741411</v>
      </c>
      <c r="M65" s="11">
        <f t="shared" si="5"/>
        <v>45241.932997685188</v>
      </c>
      <c r="O65" s="7">
        <f t="shared" si="6"/>
        <v>0</v>
      </c>
      <c r="P65" t="s">
        <v>52</v>
      </c>
      <c r="Q65" s="7" t="str">
        <f t="shared" si="7"/>
        <v xml:space="preserve">Prefers email </v>
      </c>
    </row>
    <row r="66" spans="1:17">
      <c r="A66">
        <v>1509</v>
      </c>
      <c r="B66" t="s">
        <v>140</v>
      </c>
      <c r="C66" s="9" t="str">
        <f t="shared" si="0"/>
        <v>Anne Müller</v>
      </c>
      <c r="D66" s="7" t="str">
        <f t="shared" si="1"/>
        <v>Anne Müller</v>
      </c>
      <c r="E66">
        <v>56</v>
      </c>
      <c r="F66" s="7">
        <f t="shared" si="2"/>
        <v>56</v>
      </c>
      <c r="G66" t="s">
        <v>38</v>
      </c>
      <c r="H66" s="7" t="str">
        <f t="shared" si="3"/>
        <v>Spain</v>
      </c>
      <c r="I66" t="s">
        <v>141</v>
      </c>
      <c r="J66" s="7" t="str">
        <f>TEXT(
  IFERROR(
    DATEVALUE(SUBSTITUTE(SUBSTITUTE(TRIM(I66),"T"," "),"Z","")),
    IFERROR(
      DATE(
        RIGHT(TRIM(I66),4),
        MID(TRIM(I66),4,2),
        LEFT(TRIM(I66),2)
      ),
      DATE(
        VALUE(RIGHT(TRIM(I66),4)),
        MATCH(LEFT(TRIM(I66),FIND(" ",TRIM(I66))-1),
          {"January","February","March","April","May","June","July","August","September","October","November","December"},0),
        VALUE(MID(TRIM(I66),
          FIND(" ",TRIM(I66))+1,
          FIND(" ",TRIM(I66),FIND(" ",TRIM(I66))+1)-FIND(" ",TRIM(I66))-1))
      )
    )
  ),
"yyyy-mm-dd")</f>
        <v>2023-09-25</v>
      </c>
      <c r="K66" s="5" t="str">
        <f t="shared" si="4"/>
        <v>Sep</v>
      </c>
      <c r="L66">
        <v>1687640756</v>
      </c>
      <c r="M66" s="11">
        <f t="shared" si="5"/>
        <v>45101.879120370373</v>
      </c>
      <c r="O66" s="7">
        <f t="shared" si="6"/>
        <v>0</v>
      </c>
      <c r="P66" t="s">
        <v>27</v>
      </c>
      <c r="Q66" s="7" t="str">
        <f t="shared" si="7"/>
        <v xml:space="preserve">Holiday signup </v>
      </c>
    </row>
    <row r="67" spans="1:17">
      <c r="A67">
        <v>1879</v>
      </c>
      <c r="B67" t="s">
        <v>107</v>
      </c>
      <c r="C67" s="9" t="str">
        <f t="shared" ref="C67:C130" si="8">TRIM(B67)</f>
        <v>Fatima Ali</v>
      </c>
      <c r="D67" s="7" t="str">
        <f t="shared" ref="D67:D130" si="9">PROPER(B67)</f>
        <v>Fatima Ali</v>
      </c>
      <c r="E67">
        <v>57</v>
      </c>
      <c r="F67" s="7">
        <f t="shared" ref="F67:F130" si="10">IF(OR(E67="", ISBLANK(E67)), MEDIAN($E$2:$E$1501), E67)</f>
        <v>57</v>
      </c>
      <c r="G67" t="s">
        <v>18</v>
      </c>
      <c r="H67" s="7" t="str">
        <f t="shared" ref="H67:H130" si="11">TRIM(G67)</f>
        <v>United Kingdom</v>
      </c>
      <c r="I67" t="s">
        <v>142</v>
      </c>
      <c r="J67" s="7" t="str">
        <f>TEXT(
  IFERROR(
    DATEVALUE(SUBSTITUTE(SUBSTITUTE(TRIM(I67),"T"," "),"Z","")),
    IFERROR(
      DATE(
        RIGHT(TRIM(I67),4),
        MID(TRIM(I67),4,2),
        LEFT(TRIM(I67),2)
      ),
      DATE(
        VALUE(RIGHT(TRIM(I67),4)),
        MATCH(LEFT(TRIM(I67),FIND(" ",TRIM(I67))-1),
          {"January","February","March","April","May","June","July","August","September","October","November","December"},0),
        VALUE(MID(TRIM(I67),
          FIND(" ",TRIM(I67))+1,
          FIND(" ",TRIM(I67),FIND(" ",TRIM(I67))+1)-FIND(" ",TRIM(I67))-1))
      )
    )
  ),
"yyyy-mm-dd")</f>
        <v>2023-04-17</v>
      </c>
      <c r="K67" s="5" t="str">
        <f t="shared" ref="K67:K130" si="12">TEXT(J67,"mmm")</f>
        <v>Apr</v>
      </c>
      <c r="L67">
        <v>1681404050</v>
      </c>
      <c r="M67" s="11">
        <f t="shared" ref="M67:M130" si="13">((L67)/86400)+DATE(1970,1,1)</f>
        <v>45029.695023148146</v>
      </c>
      <c r="N67">
        <v>994.04</v>
      </c>
      <c r="O67" s="7">
        <f t="shared" ref="O67:O130" si="14">IF(N67="", 0, N67)</f>
        <v>994.04</v>
      </c>
      <c r="P67" t="s">
        <v>40</v>
      </c>
      <c r="Q67" s="7" t="str">
        <f t="shared" ref="Q67:Q130" si="15">SUBSTITUTE(SUBSTITUTE(SUBSTITUTE(P67,"$",""),"%",""),"ñ","n")</f>
        <v xml:space="preserve">VIP client </v>
      </c>
    </row>
    <row r="68" spans="1:17">
      <c r="A68">
        <v>1356</v>
      </c>
      <c r="B68" t="s">
        <v>143</v>
      </c>
      <c r="C68" s="9" t="str">
        <f t="shared" si="8"/>
        <v>Chloe Dubois</v>
      </c>
      <c r="D68" s="7" t="str">
        <f t="shared" si="9"/>
        <v xml:space="preserve"> Chloe Dubois </v>
      </c>
      <c r="F68" s="7">
        <f t="shared" si="10"/>
        <v>43</v>
      </c>
      <c r="G68" t="s">
        <v>60</v>
      </c>
      <c r="H68" s="7" t="str">
        <f t="shared" si="11"/>
        <v>Egypt</v>
      </c>
      <c r="I68" t="s">
        <v>144</v>
      </c>
      <c r="J68" s="7" t="str">
        <f>TEXT(
  IFERROR(
    DATEVALUE(SUBSTITUTE(SUBSTITUTE(TRIM(I68),"T"," "),"Z","")),
    IFERROR(
      DATE(
        RIGHT(TRIM(I68),4),
        MID(TRIM(I68),4,2),
        LEFT(TRIM(I68),2)
      ),
      DATE(
        VALUE(RIGHT(TRIM(I68),4)),
        MATCH(LEFT(TRIM(I68),FIND(" ",TRIM(I68))-1),
          {"January","February","March","April","May","June","July","August","September","October","November","December"},0),
        VALUE(MID(TRIM(I68),
          FIND(" ",TRIM(I68))+1,
          FIND(" ",TRIM(I68),FIND(" ",TRIM(I68))+1)-FIND(" ",TRIM(I68))-1))
      )
    )
  ),
"yyyy-mm-dd")</f>
        <v>2023-05-30</v>
      </c>
      <c r="K68" s="5" t="str">
        <f t="shared" si="12"/>
        <v>May</v>
      </c>
      <c r="L68">
        <v>1680291053</v>
      </c>
      <c r="M68" s="11">
        <f t="shared" si="13"/>
        <v>45016.813113425931</v>
      </c>
      <c r="O68" s="7">
        <f t="shared" si="14"/>
        <v>0</v>
      </c>
      <c r="P68" t="s">
        <v>36</v>
      </c>
      <c r="Q68" s="7" t="str">
        <f t="shared" si="15"/>
        <v>Regular shopper</v>
      </c>
    </row>
    <row r="69" spans="1:17">
      <c r="A69">
        <v>1146</v>
      </c>
      <c r="B69" t="s">
        <v>92</v>
      </c>
      <c r="C69" s="9" t="str">
        <f t="shared" si="8"/>
        <v>Zoë Kravitz</v>
      </c>
      <c r="D69" s="7" t="str">
        <f t="shared" si="9"/>
        <v xml:space="preserve"> Zoë Kravitz </v>
      </c>
      <c r="E69">
        <v>58</v>
      </c>
      <c r="F69" s="7">
        <f t="shared" si="10"/>
        <v>58</v>
      </c>
      <c r="G69" t="s">
        <v>22</v>
      </c>
      <c r="H69" s="7" t="str">
        <f t="shared" si="11"/>
        <v>Germany</v>
      </c>
      <c r="I69" t="s">
        <v>145</v>
      </c>
      <c r="J69" s="7" t="str">
        <f>TEXT(
  IFERROR(
    DATEVALUE(SUBSTITUTE(SUBSTITUTE(TRIM(I69),"T"," "),"Z","")),
    IFERROR(
      DATE(
        RIGHT(TRIM(I69),4),
        MID(TRIM(I69),4,2),
        LEFT(TRIM(I69),2)
      ),
      DATE(
        VALUE(RIGHT(TRIM(I69),4)),
        MATCH(LEFT(TRIM(I69),FIND(" ",TRIM(I69))-1),
          {"January","February","March","April","May","June","July","August","September","October","November","December"},0),
        VALUE(MID(TRIM(I69),
          FIND(" ",TRIM(I69))+1,
          FIND(" ",TRIM(I69),FIND(" ",TRIM(I69))+1)-FIND(" ",TRIM(I69))-1))
      )
    )
  ),
"yyyy-mm-dd")</f>
        <v>2023-08-06</v>
      </c>
      <c r="K69" s="5" t="str">
        <f t="shared" si="12"/>
        <v>Aug</v>
      </c>
      <c r="L69">
        <v>1690796481</v>
      </c>
      <c r="M69" s="11">
        <f t="shared" si="13"/>
        <v>45138.403715277775</v>
      </c>
      <c r="N69">
        <v>344.97</v>
      </c>
      <c r="O69" s="7">
        <f t="shared" si="14"/>
        <v>344.97</v>
      </c>
      <c r="P69" t="s">
        <v>58</v>
      </c>
      <c r="Q69" s="7" t="str">
        <f t="shared" si="15"/>
        <v>Student account</v>
      </c>
    </row>
    <row r="70" spans="1:17">
      <c r="A70">
        <v>1292</v>
      </c>
      <c r="B70" t="s">
        <v>146</v>
      </c>
      <c r="C70" s="9" t="str">
        <f t="shared" si="8"/>
        <v>Li Wei</v>
      </c>
      <c r="D70" s="7" t="str">
        <f t="shared" si="9"/>
        <v xml:space="preserve"> Li Wei </v>
      </c>
      <c r="E70">
        <v>56</v>
      </c>
      <c r="F70" s="7">
        <f t="shared" si="10"/>
        <v>56</v>
      </c>
      <c r="G70" t="s">
        <v>102</v>
      </c>
      <c r="H70" s="7" t="str">
        <f t="shared" si="11"/>
        <v>Mexico</v>
      </c>
      <c r="I70" t="s">
        <v>147</v>
      </c>
      <c r="J70" s="7" t="str">
        <f>TEXT(
  IFERROR(
    DATEVALUE(SUBSTITUTE(SUBSTITUTE(TRIM(I70),"T"," "),"Z","")),
    IFERROR(
      DATE(
        RIGHT(TRIM(I70),4),
        MID(TRIM(I70),4,2),
        LEFT(TRIM(I70),2)
      ),
      DATE(
        VALUE(RIGHT(TRIM(I70),4)),
        MATCH(LEFT(TRIM(I70),FIND(" ",TRIM(I70))-1),
          {"January","February","March","April","May","June","July","August","September","October","November","December"},0),
        VALUE(MID(TRIM(I70),
          FIND(" ",TRIM(I70))+1,
          FIND(" ",TRIM(I70),FIND(" ",TRIM(I70))+1)-FIND(" ",TRIM(I70))-1))
      )
    )
  ),
"yyyy-mm-dd")</f>
        <v>2023-08-13</v>
      </c>
      <c r="K70" s="5" t="str">
        <f t="shared" si="12"/>
        <v>Aug</v>
      </c>
      <c r="L70">
        <v>1688250894</v>
      </c>
      <c r="M70" s="11">
        <f t="shared" si="13"/>
        <v>45108.940902777773</v>
      </c>
      <c r="O70" s="7">
        <f t="shared" si="14"/>
        <v>0</v>
      </c>
      <c r="P70" t="s">
        <v>58</v>
      </c>
      <c r="Q70" s="7" t="str">
        <f t="shared" si="15"/>
        <v>Student account</v>
      </c>
    </row>
    <row r="71" spans="1:17">
      <c r="A71">
        <v>2025</v>
      </c>
      <c r="B71" t="s">
        <v>148</v>
      </c>
      <c r="C71" s="9" t="str">
        <f t="shared" si="8"/>
        <v>Chloe Dubois</v>
      </c>
      <c r="D71" s="7" t="str">
        <f t="shared" si="9"/>
        <v>Chloe Dubois</v>
      </c>
      <c r="E71">
        <v>23</v>
      </c>
      <c r="F71" s="7">
        <f t="shared" si="10"/>
        <v>23</v>
      </c>
      <c r="G71" t="s">
        <v>44</v>
      </c>
      <c r="H71" s="7" t="str">
        <f t="shared" si="11"/>
        <v>UAE</v>
      </c>
      <c r="I71" t="s">
        <v>149</v>
      </c>
      <c r="J71" s="7" t="str">
        <f>TEXT(
  IFERROR(
    DATEVALUE(SUBSTITUTE(SUBSTITUTE(TRIM(I71),"T"," "),"Z","")),
    IFERROR(
      DATE(
        RIGHT(TRIM(I71),4),
        MID(TRIM(I71),4,2),
        LEFT(TRIM(I71),2)
      ),
      DATE(
        VALUE(RIGHT(TRIM(I71),4)),
        MATCH(LEFT(TRIM(I71),FIND(" ",TRIM(I71))-1),
          {"January","February","March","April","May","June","July","August","September","October","November","December"},0),
        VALUE(MID(TRIM(I71),
          FIND(" ",TRIM(I71))+1,
          FIND(" ",TRIM(I71),FIND(" ",TRIM(I71))+1)-FIND(" ",TRIM(I71))-1))
      )
    )
  ),
"yyyy-mm-dd")</f>
        <v>2023-06-15</v>
      </c>
      <c r="K71" s="5" t="str">
        <f t="shared" si="12"/>
        <v>Jun</v>
      </c>
      <c r="L71">
        <v>1680924952</v>
      </c>
      <c r="M71" s="11">
        <f t="shared" si="13"/>
        <v>45024.149907407409</v>
      </c>
      <c r="N71">
        <v>48.54</v>
      </c>
      <c r="O71" s="7">
        <f t="shared" si="14"/>
        <v>48.54</v>
      </c>
      <c r="P71" t="s">
        <v>27</v>
      </c>
      <c r="Q71" s="7" t="str">
        <f t="shared" si="15"/>
        <v xml:space="preserve">Holiday signup </v>
      </c>
    </row>
    <row r="72" spans="1:17">
      <c r="A72">
        <v>1043</v>
      </c>
      <c r="B72" t="s">
        <v>82</v>
      </c>
      <c r="C72" s="9" t="str">
        <f t="shared" si="8"/>
        <v>Björn Larsson</v>
      </c>
      <c r="D72" s="7" t="str">
        <f t="shared" si="9"/>
        <v>Björn Larsson</v>
      </c>
      <c r="E72">
        <v>35</v>
      </c>
      <c r="F72" s="7">
        <f t="shared" si="10"/>
        <v>35</v>
      </c>
      <c r="G72" t="s">
        <v>48</v>
      </c>
      <c r="H72" s="7" t="str">
        <f t="shared" si="11"/>
        <v>France</v>
      </c>
      <c r="I72" t="s">
        <v>150</v>
      </c>
      <c r="J72" s="7" t="str">
        <f>TEXT(
  IFERROR(
    DATEVALUE(SUBSTITUTE(SUBSTITUTE(TRIM(I72),"T"," "),"Z","")),
    IFERROR(
      DATE(
        RIGHT(TRIM(I72),4),
        MID(TRIM(I72),4,2),
        LEFT(TRIM(I72),2)
      ),
      DATE(
        VALUE(RIGHT(TRIM(I72),4)),
        MATCH(LEFT(TRIM(I72),FIND(" ",TRIM(I72))-1),
          {"January","February","March","April","May","June","July","August","September","October","November","December"},0),
        VALUE(MID(TRIM(I72),
          FIND(" ",TRIM(I72))+1,
          FIND(" ",TRIM(I72),FIND(" ",TRIM(I72))+1)-FIND(" ",TRIM(I72))-1))
      )
    )
  ),
"yyyy-mm-dd")</f>
        <v>2023-08-29</v>
      </c>
      <c r="K72" s="5" t="str">
        <f t="shared" si="12"/>
        <v>Aug</v>
      </c>
      <c r="L72">
        <v>1694385030</v>
      </c>
      <c r="M72" s="11">
        <f t="shared" si="13"/>
        <v>45179.937847222223</v>
      </c>
      <c r="O72" s="7">
        <f t="shared" si="14"/>
        <v>0</v>
      </c>
      <c r="P72" t="s">
        <v>33</v>
      </c>
      <c r="Q72" s="7" t="str">
        <f t="shared" si="15"/>
        <v>Frequent buyer n</v>
      </c>
    </row>
    <row r="73" spans="1:17">
      <c r="A73">
        <v>2199</v>
      </c>
      <c r="B73" t="s">
        <v>74</v>
      </c>
      <c r="C73" s="9" t="str">
        <f t="shared" si="8"/>
        <v>Sofia Rossi</v>
      </c>
      <c r="D73" s="7" t="str">
        <f t="shared" si="9"/>
        <v>Sofia Rossi</v>
      </c>
      <c r="F73" s="7">
        <f t="shared" si="10"/>
        <v>43</v>
      </c>
      <c r="G73" t="s">
        <v>122</v>
      </c>
      <c r="H73" s="7" t="str">
        <f t="shared" si="11"/>
        <v>Italy</v>
      </c>
      <c r="I73" t="s">
        <v>151</v>
      </c>
      <c r="J73" s="7" t="str">
        <f>TEXT(
  IFERROR(
    DATEVALUE(SUBSTITUTE(SUBSTITUTE(TRIM(I73),"T"," "),"Z","")),
    IFERROR(
      DATE(
        RIGHT(TRIM(I73),4),
        MID(TRIM(I73),4,2),
        LEFT(TRIM(I73),2)
      ),
      DATE(
        VALUE(RIGHT(TRIM(I73),4)),
        MATCH(LEFT(TRIM(I73),FIND(" ",TRIM(I73))-1),
          {"January","February","March","April","May","June","July","August","September","October","November","December"},0),
        VALUE(MID(TRIM(I73),
          FIND(" ",TRIM(I73))+1,
          FIND(" ",TRIM(I73),FIND(" ",TRIM(I73))+1)-FIND(" ",TRIM(I73))-1))
      )
    )
  ),
"yyyy-mm-dd")</f>
        <v>2023-07-29</v>
      </c>
      <c r="K73" s="5" t="str">
        <f t="shared" si="12"/>
        <v>Jul</v>
      </c>
      <c r="L73">
        <v>1683296927</v>
      </c>
      <c r="M73" s="11">
        <f t="shared" si="13"/>
        <v>45051.603321759263</v>
      </c>
      <c r="N73">
        <v>1008.5</v>
      </c>
      <c r="O73" s="7">
        <f t="shared" si="14"/>
        <v>1008.5</v>
      </c>
      <c r="P73" t="s">
        <v>84</v>
      </c>
      <c r="Q73" s="7" t="str">
        <f t="shared" si="15"/>
        <v xml:space="preserve">Newsletter subscriber </v>
      </c>
    </row>
    <row r="74" spans="1:17">
      <c r="A74">
        <v>1844</v>
      </c>
      <c r="B74" t="s">
        <v>24</v>
      </c>
      <c r="C74" s="9" t="str">
        <f t="shared" si="8"/>
        <v>Renée Dupont</v>
      </c>
      <c r="D74" s="7" t="str">
        <f t="shared" si="9"/>
        <v>Renée Dupont</v>
      </c>
      <c r="E74">
        <v>43</v>
      </c>
      <c r="F74" s="7">
        <f t="shared" si="10"/>
        <v>43</v>
      </c>
      <c r="G74" t="s">
        <v>29</v>
      </c>
      <c r="H74" s="7" t="str">
        <f t="shared" si="11"/>
        <v>United States</v>
      </c>
      <c r="I74" t="s">
        <v>152</v>
      </c>
      <c r="J74" s="7" t="str">
        <f>TEXT(
  IFERROR(
    DATEVALUE(SUBSTITUTE(SUBSTITUTE(TRIM(I74),"T"," "),"Z","")),
    IFERROR(
      DATE(
        RIGHT(TRIM(I74),4),
        MID(TRIM(I74),4,2),
        LEFT(TRIM(I74),2)
      ),
      DATE(
        VALUE(RIGHT(TRIM(I74),4)),
        MATCH(LEFT(TRIM(I74),FIND(" ",TRIM(I74))-1),
          {"January","February","March","April","May","June","July","August","September","October","November","December"},0),
        VALUE(MID(TRIM(I74),
          FIND(" ",TRIM(I74))+1,
          FIND(" ",TRIM(I74),FIND(" ",TRIM(I74))+1)-FIND(" ",TRIM(I74))-1))
      )
    )
  ),
"yyyy-mm-dd")</f>
        <v>2023-08-21</v>
      </c>
      <c r="K74" s="5" t="str">
        <f t="shared" si="12"/>
        <v>Aug</v>
      </c>
      <c r="L74">
        <v>1683077444</v>
      </c>
      <c r="M74" s="11">
        <f t="shared" si="13"/>
        <v>45049.063009259262</v>
      </c>
      <c r="N74">
        <v>386.07</v>
      </c>
      <c r="O74" s="7">
        <f t="shared" si="14"/>
        <v>386.07</v>
      </c>
      <c r="P74" t="s">
        <v>118</v>
      </c>
      <c r="Q74" s="7" t="str">
        <f t="shared" si="15"/>
        <v>High engagement</v>
      </c>
    </row>
    <row r="75" spans="1:17">
      <c r="A75">
        <v>2054</v>
      </c>
      <c r="B75" t="s">
        <v>17</v>
      </c>
      <c r="C75" s="9" t="str">
        <f t="shared" si="8"/>
        <v>John Smith</v>
      </c>
      <c r="D75" s="7" t="str">
        <f t="shared" si="9"/>
        <v>John Smith</v>
      </c>
      <c r="F75" s="7">
        <f t="shared" si="10"/>
        <v>43</v>
      </c>
      <c r="G75" t="s">
        <v>29</v>
      </c>
      <c r="H75" s="7" t="str">
        <f t="shared" si="11"/>
        <v>United States</v>
      </c>
      <c r="I75" t="s">
        <v>153</v>
      </c>
      <c r="J75" s="7" t="str">
        <f>TEXT(
  IFERROR(
    DATEVALUE(SUBSTITUTE(SUBSTITUTE(TRIM(I75),"T"," "),"Z","")),
    IFERROR(
      DATE(
        RIGHT(TRIM(I75),4),
        MID(TRIM(I75),4,2),
        LEFT(TRIM(I75),2)
      ),
      DATE(
        VALUE(RIGHT(TRIM(I75),4)),
        MATCH(LEFT(TRIM(I75),FIND(" ",TRIM(I75))-1),
          {"January","February","March","April","May","June","July","August","September","October","November","December"},0),
        VALUE(MID(TRIM(I75),
          FIND(" ",TRIM(I75))+1,
          FIND(" ",TRIM(I75),FIND(" ",TRIM(I75))+1)-FIND(" ",TRIM(I75))-1))
      )
    )
  ),
"yyyy-mm-dd")</f>
        <v>2023-04-07</v>
      </c>
      <c r="K75" s="5" t="str">
        <f t="shared" si="12"/>
        <v>Apr</v>
      </c>
      <c r="L75">
        <v>1684663300</v>
      </c>
      <c r="M75" s="11">
        <f t="shared" si="13"/>
        <v>45067.417824074073</v>
      </c>
      <c r="O75" s="7">
        <f t="shared" si="14"/>
        <v>0</v>
      </c>
      <c r="P75" t="s">
        <v>36</v>
      </c>
      <c r="Q75" s="7" t="str">
        <f t="shared" si="15"/>
        <v>Regular shopper</v>
      </c>
    </row>
    <row r="76" spans="1:17">
      <c r="A76">
        <v>1106</v>
      </c>
      <c r="B76" t="s">
        <v>21</v>
      </c>
      <c r="C76" s="9" t="str">
        <f t="shared" si="8"/>
        <v>David Brown</v>
      </c>
      <c r="D76" s="7" t="str">
        <f t="shared" si="9"/>
        <v xml:space="preserve"> David Brown </v>
      </c>
      <c r="F76" s="7">
        <f t="shared" si="10"/>
        <v>43</v>
      </c>
      <c r="G76" t="s">
        <v>60</v>
      </c>
      <c r="H76" s="7" t="str">
        <f t="shared" si="11"/>
        <v>Egypt</v>
      </c>
      <c r="I76" t="s">
        <v>154</v>
      </c>
      <c r="J76" s="7" t="str">
        <f>TEXT(
  IFERROR(
    DATEVALUE(SUBSTITUTE(SUBSTITUTE(TRIM(I76),"T"," "),"Z","")),
    IFERROR(
      DATE(
        RIGHT(TRIM(I76),4),
        MID(TRIM(I76),4,2),
        LEFT(TRIM(I76),2)
      ),
      DATE(
        VALUE(RIGHT(TRIM(I76),4)),
        MATCH(LEFT(TRIM(I76),FIND(" ",TRIM(I76))-1),
          {"January","February","March","April","May","June","July","August","September","October","November","December"},0),
        VALUE(MID(TRIM(I76),
          FIND(" ",TRIM(I76))+1,
          FIND(" ",TRIM(I76),FIND(" ",TRIM(I76))+1)-FIND(" ",TRIM(I76))-1))
      )
    )
  ),
"yyyy-mm-dd")</f>
        <v>2023-03-04</v>
      </c>
      <c r="K76" s="5" t="str">
        <f t="shared" si="12"/>
        <v>Mar</v>
      </c>
      <c r="L76">
        <v>1693664039</v>
      </c>
      <c r="M76" s="11">
        <f t="shared" si="13"/>
        <v>45171.593043981484</v>
      </c>
      <c r="N76">
        <v>917.22</v>
      </c>
      <c r="O76" s="7">
        <f t="shared" si="14"/>
        <v>917.22</v>
      </c>
      <c r="P76" t="s">
        <v>33</v>
      </c>
      <c r="Q76" s="7" t="str">
        <f t="shared" si="15"/>
        <v>Frequent buyer n</v>
      </c>
    </row>
    <row r="77" spans="1:17">
      <c r="A77">
        <v>1637</v>
      </c>
      <c r="B77" t="s">
        <v>143</v>
      </c>
      <c r="C77" s="9" t="str">
        <f t="shared" si="8"/>
        <v>Chloe Dubois</v>
      </c>
      <c r="D77" s="7" t="str">
        <f t="shared" si="9"/>
        <v xml:space="preserve"> Chloe Dubois </v>
      </c>
      <c r="E77">
        <v>44</v>
      </c>
      <c r="F77" s="7">
        <f t="shared" si="10"/>
        <v>44</v>
      </c>
      <c r="G77" t="s">
        <v>18</v>
      </c>
      <c r="H77" s="7" t="str">
        <f t="shared" si="11"/>
        <v>United Kingdom</v>
      </c>
      <c r="I77" t="s">
        <v>155</v>
      </c>
      <c r="J77" s="7" t="str">
        <f>TEXT(
  IFERROR(
    DATEVALUE(SUBSTITUTE(SUBSTITUTE(TRIM(I77),"T"," "),"Z","")),
    IFERROR(
      DATE(
        RIGHT(TRIM(I77),4),
        MID(TRIM(I77),4,2),
        LEFT(TRIM(I77),2)
      ),
      DATE(
        VALUE(RIGHT(TRIM(I77),4)),
        MATCH(LEFT(TRIM(I77),FIND(" ",TRIM(I77))-1),
          {"January","February","March","April","May","June","July","August","September","October","November","December"},0),
        VALUE(MID(TRIM(I77),
          FIND(" ",TRIM(I77))+1,
          FIND(" ",TRIM(I77),FIND(" ",TRIM(I77))+1)-FIND(" ",TRIM(I77))-1))
      )
    )
  ),
"yyyy-mm-dd")</f>
        <v>2023-08-25</v>
      </c>
      <c r="K77" s="5" t="str">
        <f t="shared" si="12"/>
        <v>Aug</v>
      </c>
      <c r="L77">
        <v>1694257530</v>
      </c>
      <c r="M77" s="11">
        <f t="shared" si="13"/>
        <v>45178.462152777778</v>
      </c>
      <c r="O77" s="7">
        <f t="shared" si="14"/>
        <v>0</v>
      </c>
      <c r="P77" t="s">
        <v>58</v>
      </c>
      <c r="Q77" s="7" t="str">
        <f t="shared" si="15"/>
        <v>Student account</v>
      </c>
    </row>
    <row r="78" spans="1:17">
      <c r="A78">
        <v>2043</v>
      </c>
      <c r="B78" t="s">
        <v>31</v>
      </c>
      <c r="C78" s="9" t="str">
        <f t="shared" si="8"/>
        <v>Renée Dupont</v>
      </c>
      <c r="D78" s="7" t="str">
        <f t="shared" si="9"/>
        <v xml:space="preserve"> Renée Dupont </v>
      </c>
      <c r="E78">
        <v>48</v>
      </c>
      <c r="F78" s="7">
        <f t="shared" si="10"/>
        <v>48</v>
      </c>
      <c r="G78" t="s">
        <v>111</v>
      </c>
      <c r="H78" s="7" t="str">
        <f t="shared" si="11"/>
        <v>South Korea</v>
      </c>
      <c r="I78" t="s">
        <v>156</v>
      </c>
      <c r="J78" s="7" t="str">
        <f>TEXT(
  IFERROR(
    DATEVALUE(SUBSTITUTE(SUBSTITUTE(TRIM(I78),"T"," "),"Z","")),
    IFERROR(
      DATE(
        RIGHT(TRIM(I78),4),
        MID(TRIM(I78),4,2),
        LEFT(TRIM(I78),2)
      ),
      DATE(
        VALUE(RIGHT(TRIM(I78),4)),
        MATCH(LEFT(TRIM(I78),FIND(" ",TRIM(I78))-1),
          {"January","February","March","April","May","June","July","August","September","October","November","December"},0),
        VALUE(MID(TRIM(I78),
          FIND(" ",TRIM(I78))+1,
          FIND(" ",TRIM(I78),FIND(" ",TRIM(I78))+1)-FIND(" ",TRIM(I78))-1))
      )
    )
  ),
"yyyy-mm-dd")</f>
        <v>2023-10-10</v>
      </c>
      <c r="K78" s="5" t="str">
        <f t="shared" si="12"/>
        <v>Oct</v>
      </c>
      <c r="L78">
        <v>1685395010</v>
      </c>
      <c r="M78" s="11">
        <f t="shared" si="13"/>
        <v>45075.886689814812</v>
      </c>
      <c r="N78">
        <v>294.01</v>
      </c>
      <c r="O78" s="7">
        <f t="shared" si="14"/>
        <v>294.01</v>
      </c>
      <c r="P78" t="s">
        <v>52</v>
      </c>
      <c r="Q78" s="7" t="str">
        <f t="shared" si="15"/>
        <v xml:space="preserve">Prefers email </v>
      </c>
    </row>
    <row r="79" spans="1:17">
      <c r="A79">
        <v>1566</v>
      </c>
      <c r="B79" t="s">
        <v>82</v>
      </c>
      <c r="C79" s="9" t="str">
        <f t="shared" si="8"/>
        <v>Björn Larsson</v>
      </c>
      <c r="D79" s="7" t="str">
        <f t="shared" si="9"/>
        <v>Björn Larsson</v>
      </c>
      <c r="E79">
        <v>39</v>
      </c>
      <c r="F79" s="7">
        <f t="shared" si="10"/>
        <v>39</v>
      </c>
      <c r="G79" t="s">
        <v>54</v>
      </c>
      <c r="H79" s="7" t="str">
        <f t="shared" si="11"/>
        <v>Brazil</v>
      </c>
      <c r="I79" t="s">
        <v>157</v>
      </c>
      <c r="J79" s="7" t="str">
        <f>TEXT(
  IFERROR(
    DATEVALUE(SUBSTITUTE(SUBSTITUTE(TRIM(I79),"T"," "),"Z","")),
    IFERROR(
      DATE(
        RIGHT(TRIM(I79),4),
        MID(TRIM(I79),4,2),
        LEFT(TRIM(I79),2)
      ),
      DATE(
        VALUE(RIGHT(TRIM(I79),4)),
        MATCH(LEFT(TRIM(I79),FIND(" ",TRIM(I79))-1),
          {"January","February","March","April","May","June","July","August","September","October","November","December"},0),
        VALUE(MID(TRIM(I79),
          FIND(" ",TRIM(I79))+1,
          FIND(" ",TRIM(I79),FIND(" ",TRIM(I79))+1)-FIND(" ",TRIM(I79))-1))
      )
    )
  ),
"yyyy-mm-dd")</f>
        <v>2023-02-01</v>
      </c>
      <c r="K79" s="5" t="str">
        <f t="shared" si="12"/>
        <v>Feb</v>
      </c>
      <c r="L79">
        <v>1696886228</v>
      </c>
      <c r="M79" s="11">
        <f t="shared" si="13"/>
        <v>45208.88689814815</v>
      </c>
      <c r="O79" s="7">
        <f t="shared" si="14"/>
        <v>0</v>
      </c>
      <c r="P79" t="s">
        <v>33</v>
      </c>
      <c r="Q79" s="7" t="str">
        <f t="shared" si="15"/>
        <v>Frequent buyer n</v>
      </c>
    </row>
    <row r="80" spans="1:17">
      <c r="A80">
        <v>1915</v>
      </c>
      <c r="B80" t="s">
        <v>148</v>
      </c>
      <c r="C80" s="9" t="str">
        <f t="shared" si="8"/>
        <v>Chloe Dubois</v>
      </c>
      <c r="D80" s="7" t="str">
        <f t="shared" si="9"/>
        <v>Chloe Dubois</v>
      </c>
      <c r="E80">
        <v>53</v>
      </c>
      <c r="F80" s="7">
        <f t="shared" si="10"/>
        <v>53</v>
      </c>
      <c r="G80" t="s">
        <v>116</v>
      </c>
      <c r="H80" s="7" t="str">
        <f t="shared" si="11"/>
        <v>China</v>
      </c>
      <c r="I80" t="s">
        <v>158</v>
      </c>
      <c r="J80" s="7" t="str">
        <f>TEXT(
  IFERROR(
    DATEVALUE(SUBSTITUTE(SUBSTITUTE(TRIM(I80),"T"," "),"Z","")),
    IFERROR(
      DATE(
        RIGHT(TRIM(I80),4),
        MID(TRIM(I80),4,2),
        LEFT(TRIM(I80),2)
      ),
      DATE(
        VALUE(RIGHT(TRIM(I80),4)),
        MATCH(LEFT(TRIM(I80),FIND(" ",TRIM(I80))-1),
          {"January","February","March","April","May","June","July","August","September","October","November","December"},0),
        VALUE(MID(TRIM(I80),
          FIND(" ",TRIM(I80))+1,
          FIND(" ",TRIM(I80),FIND(" ",TRIM(I80))+1)-FIND(" ",TRIM(I80))-1))
      )
    )
  ),
"yyyy-mm-dd")</f>
        <v>2023-08-22</v>
      </c>
      <c r="K80" s="5" t="str">
        <f t="shared" si="12"/>
        <v>Aug</v>
      </c>
      <c r="L80">
        <v>1701702990</v>
      </c>
      <c r="M80" s="11">
        <f t="shared" si="13"/>
        <v>45264.636458333334</v>
      </c>
      <c r="N80">
        <v>291.08999999999997</v>
      </c>
      <c r="O80" s="7">
        <f t="shared" si="14"/>
        <v>291.08999999999997</v>
      </c>
      <c r="P80" t="s">
        <v>27</v>
      </c>
      <c r="Q80" s="7" t="str">
        <f t="shared" si="15"/>
        <v xml:space="preserve">Holiday signup </v>
      </c>
    </row>
    <row r="81" spans="1:17">
      <c r="A81">
        <v>1785</v>
      </c>
      <c r="B81" t="s">
        <v>72</v>
      </c>
      <c r="C81" s="9" t="str">
        <f t="shared" si="8"/>
        <v>Emily Davis</v>
      </c>
      <c r="D81" s="7" t="str">
        <f t="shared" si="9"/>
        <v>Emily Davis</v>
      </c>
      <c r="F81" s="7">
        <f t="shared" si="10"/>
        <v>43</v>
      </c>
      <c r="G81" t="s">
        <v>60</v>
      </c>
      <c r="H81" s="7" t="str">
        <f t="shared" si="11"/>
        <v>Egypt</v>
      </c>
      <c r="I81" t="s">
        <v>159</v>
      </c>
      <c r="J81" s="7" t="str">
        <f>TEXT(
  IFERROR(
    DATEVALUE(SUBSTITUTE(SUBSTITUTE(TRIM(I81),"T"," "),"Z","")),
    IFERROR(
      DATE(
        RIGHT(TRIM(I81),4),
        MID(TRIM(I81),4,2),
        LEFT(TRIM(I81),2)
      ),
      DATE(
        VALUE(RIGHT(TRIM(I81),4)),
        MATCH(LEFT(TRIM(I81),FIND(" ",TRIM(I81))-1),
          {"January","February","March","April","May","June","July","August","September","October","November","December"},0),
        VALUE(MID(TRIM(I81),
          FIND(" ",TRIM(I81))+1,
          FIND(" ",TRIM(I81),FIND(" ",TRIM(I81))+1)-FIND(" ",TRIM(I81))-1))
      )
    )
  ),
"yyyy-mm-dd")</f>
        <v>2023-12-28</v>
      </c>
      <c r="K81" s="5" t="str">
        <f t="shared" si="12"/>
        <v>Dec</v>
      </c>
      <c r="L81">
        <v>1685478653</v>
      </c>
      <c r="M81" s="11">
        <f t="shared" si="13"/>
        <v>45076.854780092588</v>
      </c>
      <c r="N81">
        <v>1482.74</v>
      </c>
      <c r="O81" s="7">
        <f t="shared" si="14"/>
        <v>1482.74</v>
      </c>
      <c r="P81" t="s">
        <v>36</v>
      </c>
      <c r="Q81" s="7" t="str">
        <f t="shared" si="15"/>
        <v>Regular shopper</v>
      </c>
    </row>
    <row r="82" spans="1:17">
      <c r="A82">
        <v>1076</v>
      </c>
      <c r="B82" t="s">
        <v>56</v>
      </c>
      <c r="C82" s="9" t="str">
        <f t="shared" si="8"/>
        <v>Carlos García</v>
      </c>
      <c r="D82" s="7" t="str">
        <f t="shared" si="9"/>
        <v>Carlos García</v>
      </c>
      <c r="E82">
        <v>55</v>
      </c>
      <c r="F82" s="7">
        <f t="shared" si="10"/>
        <v>55</v>
      </c>
      <c r="G82" t="s">
        <v>111</v>
      </c>
      <c r="H82" s="7" t="str">
        <f t="shared" si="11"/>
        <v>South Korea</v>
      </c>
      <c r="I82" t="s">
        <v>160</v>
      </c>
      <c r="J82" s="7" t="str">
        <f>TEXT(
  IFERROR(
    DATEVALUE(SUBSTITUTE(SUBSTITUTE(TRIM(I82),"T"," "),"Z","")),
    IFERROR(
      DATE(
        RIGHT(TRIM(I82),4),
        MID(TRIM(I82),4,2),
        LEFT(TRIM(I82),2)
      ),
      DATE(
        VALUE(RIGHT(TRIM(I82),4)),
        MATCH(LEFT(TRIM(I82),FIND(" ",TRIM(I82))-1),
          {"January","February","March","April","May","June","July","August","September","October","November","December"},0),
        VALUE(MID(TRIM(I82),
          FIND(" ",TRIM(I82))+1,
          FIND(" ",TRIM(I82),FIND(" ",TRIM(I82))+1)-FIND(" ",TRIM(I82))-1))
      )
    )
  ),
"yyyy-mm-dd")</f>
        <v>2023-02-21</v>
      </c>
      <c r="K82" s="5" t="str">
        <f t="shared" si="12"/>
        <v>Feb</v>
      </c>
      <c r="L82">
        <v>1703073353</v>
      </c>
      <c r="M82" s="11">
        <f t="shared" si="13"/>
        <v>45280.497141203705</v>
      </c>
      <c r="N82">
        <v>690.82</v>
      </c>
      <c r="O82" s="7">
        <f t="shared" si="14"/>
        <v>690.82</v>
      </c>
      <c r="P82" t="s">
        <v>118</v>
      </c>
      <c r="Q82" s="7" t="str">
        <f t="shared" si="15"/>
        <v>High engagement</v>
      </c>
    </row>
    <row r="83" spans="1:17">
      <c r="A83">
        <v>1317</v>
      </c>
      <c r="B83" t="s">
        <v>47</v>
      </c>
      <c r="C83" s="9" t="str">
        <f t="shared" si="8"/>
        <v>Li Wei</v>
      </c>
      <c r="D83" s="7" t="str">
        <f t="shared" si="9"/>
        <v>Li Wei</v>
      </c>
      <c r="E83">
        <v>39</v>
      </c>
      <c r="F83" s="7">
        <f t="shared" si="10"/>
        <v>39</v>
      </c>
      <c r="G83" t="s">
        <v>116</v>
      </c>
      <c r="H83" s="7" t="str">
        <f t="shared" si="11"/>
        <v>China</v>
      </c>
      <c r="I83" t="s">
        <v>161</v>
      </c>
      <c r="J83" s="7" t="str">
        <f>TEXT(
  IFERROR(
    DATEVALUE(SUBSTITUTE(SUBSTITUTE(TRIM(I83),"T"," "),"Z","")),
    IFERROR(
      DATE(
        RIGHT(TRIM(I83),4),
        MID(TRIM(I83),4,2),
        LEFT(TRIM(I83),2)
      ),
      DATE(
        VALUE(RIGHT(TRIM(I83),4)),
        MATCH(LEFT(TRIM(I83),FIND(" ",TRIM(I83))-1),
          {"January","February","March","April","May","June","July","August","September","October","November","December"},0),
        VALUE(MID(TRIM(I83),
          FIND(" ",TRIM(I83))+1,
          FIND(" ",TRIM(I83),FIND(" ",TRIM(I83))+1)-FIND(" ",TRIM(I83))-1))
      )
    )
  ),
"yyyy-mm-dd")</f>
        <v>2023-11-29</v>
      </c>
      <c r="K83" s="5" t="str">
        <f t="shared" si="12"/>
        <v>Nov</v>
      </c>
      <c r="L83">
        <v>1701104500</v>
      </c>
      <c r="M83" s="11">
        <f t="shared" si="13"/>
        <v>45257.709490740745</v>
      </c>
      <c r="O83" s="7">
        <f t="shared" si="14"/>
        <v>0</v>
      </c>
      <c r="P83" t="s">
        <v>84</v>
      </c>
      <c r="Q83" s="7" t="str">
        <f t="shared" si="15"/>
        <v xml:space="preserve">Newsletter subscriber </v>
      </c>
    </row>
    <row r="84" spans="1:17">
      <c r="A84">
        <v>2000</v>
      </c>
      <c r="B84" t="s">
        <v>143</v>
      </c>
      <c r="C84" s="9" t="str">
        <f t="shared" si="8"/>
        <v>Chloe Dubois</v>
      </c>
      <c r="D84" s="7" t="str">
        <f t="shared" si="9"/>
        <v xml:space="preserve"> Chloe Dubois </v>
      </c>
      <c r="E84">
        <v>33</v>
      </c>
      <c r="F84" s="7">
        <f t="shared" si="10"/>
        <v>33</v>
      </c>
      <c r="G84" t="s">
        <v>102</v>
      </c>
      <c r="H84" s="7" t="str">
        <f t="shared" si="11"/>
        <v>Mexico</v>
      </c>
      <c r="I84" t="s">
        <v>162</v>
      </c>
      <c r="J84" s="7" t="str">
        <f>TEXT(
  IFERROR(
    DATEVALUE(SUBSTITUTE(SUBSTITUTE(TRIM(I84),"T"," "),"Z","")),
    IFERROR(
      DATE(
        RIGHT(TRIM(I84),4),
        MID(TRIM(I84),4,2),
        LEFT(TRIM(I84),2)
      ),
      DATE(
        VALUE(RIGHT(TRIM(I84),4)),
        MATCH(LEFT(TRIM(I84),FIND(" ",TRIM(I84))-1),
          {"January","February","March","April","May","June","July","August","September","October","November","December"},0),
        VALUE(MID(TRIM(I84),
          FIND(" ",TRIM(I84))+1,
          FIND(" ",TRIM(I84),FIND(" ",TRIM(I84))+1)-FIND(" ",TRIM(I84))-1))
      )
    )
  ),
"yyyy-mm-dd")</f>
        <v>2023-04-27</v>
      </c>
      <c r="K84" s="5" t="str">
        <f t="shared" si="12"/>
        <v>Apr</v>
      </c>
      <c r="L84">
        <v>1687085666</v>
      </c>
      <c r="M84" s="11">
        <f t="shared" si="13"/>
        <v>45095.454467592594</v>
      </c>
      <c r="N84">
        <v>1467.72</v>
      </c>
      <c r="O84" s="7">
        <f t="shared" si="14"/>
        <v>1467.72</v>
      </c>
      <c r="P84" t="s">
        <v>36</v>
      </c>
      <c r="Q84" s="7" t="str">
        <f t="shared" si="15"/>
        <v>Regular shopper</v>
      </c>
    </row>
    <row r="85" spans="1:17">
      <c r="A85">
        <v>1294</v>
      </c>
      <c r="B85" t="s">
        <v>72</v>
      </c>
      <c r="C85" s="9" t="str">
        <f t="shared" si="8"/>
        <v>Emily Davis</v>
      </c>
      <c r="D85" s="7" t="str">
        <f t="shared" si="9"/>
        <v>Emily Davis</v>
      </c>
      <c r="F85" s="7">
        <f t="shared" si="10"/>
        <v>43</v>
      </c>
      <c r="G85" t="s">
        <v>29</v>
      </c>
      <c r="H85" s="7" t="str">
        <f t="shared" si="11"/>
        <v>United States</v>
      </c>
      <c r="I85" t="s">
        <v>163</v>
      </c>
      <c r="J85" s="7" t="str">
        <f>TEXT(
  IFERROR(
    DATEVALUE(SUBSTITUTE(SUBSTITUTE(TRIM(I85),"T"," "),"Z","")),
    IFERROR(
      DATE(
        RIGHT(TRIM(I85),4),
        MID(TRIM(I85),4,2),
        LEFT(TRIM(I85),2)
      ),
      DATE(
        VALUE(RIGHT(TRIM(I85),4)),
        MATCH(LEFT(TRIM(I85),FIND(" ",TRIM(I85))-1),
          {"January","February","March","April","May","June","July","August","September","October","November","December"},0),
        VALUE(MID(TRIM(I85),
          FIND(" ",TRIM(I85))+1,
          FIND(" ",TRIM(I85),FIND(" ",TRIM(I85))+1)-FIND(" ",TRIM(I85))-1))
      )
    )
  ),
"yyyy-mm-dd")</f>
        <v>2023-08-27</v>
      </c>
      <c r="K85" s="5" t="str">
        <f t="shared" si="12"/>
        <v>Aug</v>
      </c>
      <c r="L85">
        <v>1695260848</v>
      </c>
      <c r="M85" s="11">
        <f t="shared" si="13"/>
        <v>45190.074629629627</v>
      </c>
      <c r="N85">
        <v>824.43</v>
      </c>
      <c r="O85" s="7">
        <f t="shared" si="14"/>
        <v>824.43</v>
      </c>
      <c r="P85" t="s">
        <v>36</v>
      </c>
      <c r="Q85" s="7" t="str">
        <f t="shared" si="15"/>
        <v>Regular shopper</v>
      </c>
    </row>
    <row r="86" spans="1:17">
      <c r="A86">
        <v>1708</v>
      </c>
      <c r="B86" t="s">
        <v>164</v>
      </c>
      <c r="C86" s="9" t="str">
        <f t="shared" si="8"/>
        <v>Daniel Kim</v>
      </c>
      <c r="D86" s="7" t="str">
        <f t="shared" si="9"/>
        <v xml:space="preserve"> Daniel Kim </v>
      </c>
      <c r="F86" s="7">
        <f t="shared" si="10"/>
        <v>43</v>
      </c>
      <c r="G86" t="s">
        <v>111</v>
      </c>
      <c r="H86" s="7" t="str">
        <f t="shared" si="11"/>
        <v>South Korea</v>
      </c>
      <c r="I86" t="s">
        <v>165</v>
      </c>
      <c r="J86" s="7" t="str">
        <f>TEXT(
  IFERROR(
    DATEVALUE(SUBSTITUTE(SUBSTITUTE(TRIM(I86),"T"," "),"Z","")),
    IFERROR(
      DATE(
        RIGHT(TRIM(I86),4),
        MID(TRIM(I86),4,2),
        LEFT(TRIM(I86),2)
      ),
      DATE(
        VALUE(RIGHT(TRIM(I86),4)),
        MATCH(LEFT(TRIM(I86),FIND(" ",TRIM(I86))-1),
          {"January","February","March","April","May","June","July","August","September","October","November","December"},0),
        VALUE(MID(TRIM(I86),
          FIND(" ",TRIM(I86))+1,
          FIND(" ",TRIM(I86),FIND(" ",TRIM(I86))+1)-FIND(" ",TRIM(I86))-1))
      )
    )
  ),
"yyyy-mm-dd")</f>
        <v>2023-06-04</v>
      </c>
      <c r="K86" s="5" t="str">
        <f t="shared" si="12"/>
        <v>Jun</v>
      </c>
      <c r="L86">
        <v>1685432163</v>
      </c>
      <c r="M86" s="11">
        <f t="shared" si="13"/>
        <v>45076.316701388889</v>
      </c>
      <c r="N86">
        <v>1281.47</v>
      </c>
      <c r="O86" s="7">
        <f t="shared" si="14"/>
        <v>1281.47</v>
      </c>
      <c r="P86" t="s">
        <v>40</v>
      </c>
      <c r="Q86" s="7" t="str">
        <f t="shared" si="15"/>
        <v xml:space="preserve">VIP client </v>
      </c>
    </row>
    <row r="87" spans="1:17">
      <c r="A87">
        <v>1782</v>
      </c>
      <c r="B87" t="s">
        <v>166</v>
      </c>
      <c r="C87" s="9" t="str">
        <f t="shared" si="8"/>
        <v>Daniel Kim</v>
      </c>
      <c r="D87" s="7" t="str">
        <f t="shared" si="9"/>
        <v>Daniel Kim</v>
      </c>
      <c r="F87" s="7">
        <f t="shared" si="10"/>
        <v>43</v>
      </c>
      <c r="G87" t="s">
        <v>29</v>
      </c>
      <c r="H87" s="7" t="str">
        <f t="shared" si="11"/>
        <v>United States</v>
      </c>
      <c r="I87" t="s">
        <v>167</v>
      </c>
      <c r="J87" s="7" t="str">
        <f>TEXT(
  IFERROR(
    DATEVALUE(SUBSTITUTE(SUBSTITUTE(TRIM(I87),"T"," "),"Z","")),
    IFERROR(
      DATE(
        RIGHT(TRIM(I87),4),
        MID(TRIM(I87),4,2),
        LEFT(TRIM(I87),2)
      ),
      DATE(
        VALUE(RIGHT(TRIM(I87),4)),
        MATCH(LEFT(TRIM(I87),FIND(" ",TRIM(I87))-1),
          {"January","February","March","April","May","June","July","August","September","October","November","December"},0),
        VALUE(MID(TRIM(I87),
          FIND(" ",TRIM(I87))+1,
          FIND(" ",TRIM(I87),FIND(" ",TRIM(I87))+1)-FIND(" ",TRIM(I87))-1))
      )
    )
  ),
"yyyy-mm-dd")</f>
        <v>2023-12-04</v>
      </c>
      <c r="K87" s="5" t="str">
        <f t="shared" si="12"/>
        <v>Dec</v>
      </c>
      <c r="L87">
        <v>1681734033</v>
      </c>
      <c r="M87" s="11">
        <f t="shared" si="13"/>
        <v>45033.51427083333</v>
      </c>
      <c r="N87">
        <v>22.07</v>
      </c>
      <c r="O87" s="7">
        <f t="shared" si="14"/>
        <v>22.07</v>
      </c>
      <c r="P87" t="s">
        <v>27</v>
      </c>
      <c r="Q87" s="7" t="str">
        <f t="shared" si="15"/>
        <v xml:space="preserve">Holiday signup </v>
      </c>
    </row>
    <row r="88" spans="1:17">
      <c r="A88">
        <v>2018</v>
      </c>
      <c r="B88" t="s">
        <v>107</v>
      </c>
      <c r="C88" s="9" t="str">
        <f t="shared" si="8"/>
        <v>Fatima Ali</v>
      </c>
      <c r="D88" s="7" t="str">
        <f t="shared" si="9"/>
        <v>Fatima Ali</v>
      </c>
      <c r="F88" s="7">
        <f t="shared" si="10"/>
        <v>43</v>
      </c>
      <c r="G88" t="s">
        <v>38</v>
      </c>
      <c r="H88" s="7" t="str">
        <f t="shared" si="11"/>
        <v>Spain</v>
      </c>
      <c r="I88" t="s">
        <v>168</v>
      </c>
      <c r="J88" s="7" t="str">
        <f>TEXT(
  IFERROR(
    DATEVALUE(SUBSTITUTE(SUBSTITUTE(TRIM(I88),"T"," "),"Z","")),
    IFERROR(
      DATE(
        RIGHT(TRIM(I88),4),
        MID(TRIM(I88),4,2),
        LEFT(TRIM(I88),2)
      ),
      DATE(
        VALUE(RIGHT(TRIM(I88),4)),
        MATCH(LEFT(TRIM(I88),FIND(" ",TRIM(I88))-1),
          {"January","February","March","April","May","June","July","August","September","October","November","December"},0),
        VALUE(MID(TRIM(I88),
          FIND(" ",TRIM(I88))+1,
          FIND(" ",TRIM(I88),FIND(" ",TRIM(I88))+1)-FIND(" ",TRIM(I88))-1))
      )
    )
  ),
"yyyy-mm-dd")</f>
        <v>2023-11-22</v>
      </c>
      <c r="K88" s="5" t="str">
        <f t="shared" si="12"/>
        <v>Nov</v>
      </c>
      <c r="L88">
        <v>1693357650</v>
      </c>
      <c r="M88" s="11">
        <f t="shared" si="13"/>
        <v>45168.046875</v>
      </c>
      <c r="N88">
        <v>383.43</v>
      </c>
      <c r="O88" s="7">
        <f t="shared" si="14"/>
        <v>383.43</v>
      </c>
      <c r="P88" t="s">
        <v>52</v>
      </c>
      <c r="Q88" s="7" t="str">
        <f t="shared" si="15"/>
        <v xml:space="preserve">Prefers email </v>
      </c>
    </row>
    <row r="89" spans="1:17">
      <c r="A89">
        <v>1081</v>
      </c>
      <c r="B89" t="s">
        <v>107</v>
      </c>
      <c r="C89" s="9" t="str">
        <f t="shared" si="8"/>
        <v>Fatima Ali</v>
      </c>
      <c r="D89" s="7" t="str">
        <f t="shared" si="9"/>
        <v>Fatima Ali</v>
      </c>
      <c r="F89" s="7">
        <f t="shared" si="10"/>
        <v>43</v>
      </c>
      <c r="G89" t="s">
        <v>18</v>
      </c>
      <c r="H89" s="7" t="str">
        <f t="shared" si="11"/>
        <v>United Kingdom</v>
      </c>
      <c r="I89" t="s">
        <v>169</v>
      </c>
      <c r="J89" s="7" t="str">
        <f>TEXT(
  IFERROR(
    DATEVALUE(SUBSTITUTE(SUBSTITUTE(TRIM(I89),"T"," "),"Z","")),
    IFERROR(
      DATE(
        RIGHT(TRIM(I89),4),
        MID(TRIM(I89),4,2),
        LEFT(TRIM(I89),2)
      ),
      DATE(
        VALUE(RIGHT(TRIM(I89),4)),
        MATCH(LEFT(TRIM(I89),FIND(" ",TRIM(I89))-1),
          {"January","February","March","April","May","June","July","August","September","October","November","December"},0),
        VALUE(MID(TRIM(I89),
          FIND(" ",TRIM(I89))+1,
          FIND(" ",TRIM(I89),FIND(" ",TRIM(I89))+1)-FIND(" ",TRIM(I89))-1))
      )
    )
  ),
"yyyy-mm-dd")</f>
        <v>2023-02-16</v>
      </c>
      <c r="K89" s="5" t="str">
        <f t="shared" si="12"/>
        <v>Feb</v>
      </c>
      <c r="L89">
        <v>1683486874</v>
      </c>
      <c r="M89" s="11">
        <f t="shared" si="13"/>
        <v>45053.801782407405</v>
      </c>
      <c r="N89">
        <v>1123.75</v>
      </c>
      <c r="O89" s="7">
        <f t="shared" si="14"/>
        <v>1123.75</v>
      </c>
      <c r="P89" t="s">
        <v>40</v>
      </c>
      <c r="Q89" s="7" t="str">
        <f t="shared" si="15"/>
        <v xml:space="preserve">VIP client </v>
      </c>
    </row>
    <row r="90" spans="1:17">
      <c r="A90">
        <v>1271</v>
      </c>
      <c r="B90" t="s">
        <v>148</v>
      </c>
      <c r="C90" s="9" t="str">
        <f t="shared" si="8"/>
        <v>Chloe Dubois</v>
      </c>
      <c r="D90" s="7" t="str">
        <f t="shared" si="9"/>
        <v>Chloe Dubois</v>
      </c>
      <c r="E90">
        <v>51</v>
      </c>
      <c r="F90" s="7">
        <f t="shared" si="10"/>
        <v>51</v>
      </c>
      <c r="G90" t="s">
        <v>54</v>
      </c>
      <c r="H90" s="7" t="str">
        <f t="shared" si="11"/>
        <v>Brazil</v>
      </c>
      <c r="I90" t="s">
        <v>170</v>
      </c>
      <c r="J90" s="7" t="str">
        <f>TEXT(
  IFERROR(
    DATEVALUE(SUBSTITUTE(SUBSTITUTE(TRIM(I90),"T"," "),"Z","")),
    IFERROR(
      DATE(
        RIGHT(TRIM(I90),4),
        MID(TRIM(I90),4,2),
        LEFT(TRIM(I90),2)
      ),
      DATE(
        VALUE(RIGHT(TRIM(I90),4)),
        MATCH(LEFT(TRIM(I90),FIND(" ",TRIM(I90))-1),
          {"January","February","March","April","May","June","July","August","September","October","November","December"},0),
        VALUE(MID(TRIM(I90),
          FIND(" ",TRIM(I90))+1,
          FIND(" ",TRIM(I90),FIND(" ",TRIM(I90))+1)-FIND(" ",TRIM(I90))-1))
      )
    )
  ),
"yyyy-mm-dd")</f>
        <v>2023-03-26</v>
      </c>
      <c r="K90" s="5" t="str">
        <f t="shared" si="12"/>
        <v>Mar</v>
      </c>
      <c r="L90">
        <v>1703194393</v>
      </c>
      <c r="M90" s="11">
        <f t="shared" si="13"/>
        <v>45281.89806712963</v>
      </c>
      <c r="O90" s="7">
        <f t="shared" si="14"/>
        <v>0</v>
      </c>
      <c r="P90" t="s">
        <v>58</v>
      </c>
      <c r="Q90" s="7" t="str">
        <f t="shared" si="15"/>
        <v>Student account</v>
      </c>
    </row>
    <row r="91" spans="1:17">
      <c r="A91">
        <v>1694</v>
      </c>
      <c r="B91" t="s">
        <v>140</v>
      </c>
      <c r="C91" s="9" t="str">
        <f t="shared" si="8"/>
        <v>Anne Müller</v>
      </c>
      <c r="D91" s="7" t="str">
        <f t="shared" si="9"/>
        <v>Anne Müller</v>
      </c>
      <c r="E91">
        <v>22</v>
      </c>
      <c r="F91" s="7">
        <f t="shared" si="10"/>
        <v>22</v>
      </c>
      <c r="G91" t="s">
        <v>116</v>
      </c>
      <c r="H91" s="7" t="str">
        <f t="shared" si="11"/>
        <v>China</v>
      </c>
      <c r="I91" t="s">
        <v>171</v>
      </c>
      <c r="J91" s="7" t="str">
        <f>TEXT(
  IFERROR(
    DATEVALUE(SUBSTITUTE(SUBSTITUTE(TRIM(I91),"T"," "),"Z","")),
    IFERROR(
      DATE(
        RIGHT(TRIM(I91),4),
        MID(TRIM(I91),4,2),
        LEFT(TRIM(I91),2)
      ),
      DATE(
        VALUE(RIGHT(TRIM(I91),4)),
        MATCH(LEFT(TRIM(I91),FIND(" ",TRIM(I91))-1),
          {"January","February","March","April","May","June","July","August","September","October","November","December"},0),
        VALUE(MID(TRIM(I91),
          FIND(" ",TRIM(I91))+1,
          FIND(" ",TRIM(I91),FIND(" ",TRIM(I91))+1)-FIND(" ",TRIM(I91))-1))
      )
    )
  ),
"yyyy-mm-dd")</f>
        <v>2023-10-13</v>
      </c>
      <c r="K91" s="5" t="str">
        <f t="shared" si="12"/>
        <v>Oct</v>
      </c>
      <c r="L91">
        <v>1675554061</v>
      </c>
      <c r="M91" s="11">
        <f t="shared" si="13"/>
        <v>44961.986817129626</v>
      </c>
      <c r="N91">
        <v>1188.1199999999999</v>
      </c>
      <c r="O91" s="7">
        <f t="shared" si="14"/>
        <v>1188.1199999999999</v>
      </c>
      <c r="P91" t="s">
        <v>58</v>
      </c>
      <c r="Q91" s="7" t="str">
        <f t="shared" si="15"/>
        <v>Student account</v>
      </c>
    </row>
    <row r="92" spans="1:17">
      <c r="A92">
        <v>2099</v>
      </c>
      <c r="B92" t="s">
        <v>140</v>
      </c>
      <c r="C92" s="9" t="str">
        <f t="shared" si="8"/>
        <v>Anne Müller</v>
      </c>
      <c r="D92" s="7" t="str">
        <f t="shared" si="9"/>
        <v>Anne Müller</v>
      </c>
      <c r="E92">
        <v>65</v>
      </c>
      <c r="F92" s="7">
        <f t="shared" si="10"/>
        <v>65</v>
      </c>
      <c r="G92" t="s">
        <v>54</v>
      </c>
      <c r="H92" s="7" t="str">
        <f t="shared" si="11"/>
        <v>Brazil</v>
      </c>
      <c r="I92" t="s">
        <v>172</v>
      </c>
      <c r="J92" s="7" t="str">
        <f>TEXT(
  IFERROR(
    DATEVALUE(SUBSTITUTE(SUBSTITUTE(TRIM(I92),"T"," "),"Z","")),
    IFERROR(
      DATE(
        RIGHT(TRIM(I92),4),
        MID(TRIM(I92),4,2),
        LEFT(TRIM(I92),2)
      ),
      DATE(
        VALUE(RIGHT(TRIM(I92),4)),
        MATCH(LEFT(TRIM(I92),FIND(" ",TRIM(I92))-1),
          {"January","February","March","April","May","June","July","August","September","October","November","December"},0),
        VALUE(MID(TRIM(I92),
          FIND(" ",TRIM(I92))+1,
          FIND(" ",TRIM(I92),FIND(" ",TRIM(I92))+1)-FIND(" ",TRIM(I92))-1))
      )
    )
  ),
"yyyy-mm-dd")</f>
        <v>2023-10-27</v>
      </c>
      <c r="K92" s="5" t="str">
        <f t="shared" si="12"/>
        <v>Oct</v>
      </c>
      <c r="L92">
        <v>1700119745</v>
      </c>
      <c r="M92" s="11">
        <f t="shared" si="13"/>
        <v>45246.31186342593</v>
      </c>
      <c r="O92" s="7">
        <f t="shared" si="14"/>
        <v>0</v>
      </c>
      <c r="P92" t="s">
        <v>52</v>
      </c>
      <c r="Q92" s="7" t="str">
        <f t="shared" si="15"/>
        <v xml:space="preserve">Prefers email </v>
      </c>
    </row>
    <row r="93" spans="1:17">
      <c r="A93">
        <v>1479</v>
      </c>
      <c r="B93" t="s">
        <v>69</v>
      </c>
      <c r="C93" s="9" t="str">
        <f t="shared" si="8"/>
        <v>Isabella Martinez</v>
      </c>
      <c r="D93" s="7" t="str">
        <f t="shared" si="9"/>
        <v xml:space="preserve"> Isabella Martinez </v>
      </c>
      <c r="E93">
        <v>38</v>
      </c>
      <c r="F93" s="7">
        <f t="shared" si="10"/>
        <v>38</v>
      </c>
      <c r="G93" t="s">
        <v>38</v>
      </c>
      <c r="H93" s="7" t="str">
        <f t="shared" si="11"/>
        <v>Spain</v>
      </c>
      <c r="I93" t="s">
        <v>173</v>
      </c>
      <c r="J93" s="7" t="str">
        <f>TEXT(
  IFERROR(
    DATEVALUE(SUBSTITUTE(SUBSTITUTE(TRIM(I93),"T"," "),"Z","")),
    IFERROR(
      DATE(
        RIGHT(TRIM(I93),4),
        MID(TRIM(I93),4,2),
        LEFT(TRIM(I93),2)
      ),
      DATE(
        VALUE(RIGHT(TRIM(I93),4)),
        MATCH(LEFT(TRIM(I93),FIND(" ",TRIM(I93))-1),
          {"January","February","March","April","May","June","July","August","September","October","November","December"},0),
        VALUE(MID(TRIM(I93),
          FIND(" ",TRIM(I93))+1,
          FIND(" ",TRIM(I93),FIND(" ",TRIM(I93))+1)-FIND(" ",TRIM(I93))-1))
      )
    )
  ),
"yyyy-mm-dd")</f>
        <v>2023-11-28</v>
      </c>
      <c r="K93" s="5" t="str">
        <f t="shared" si="12"/>
        <v>Nov</v>
      </c>
      <c r="L93">
        <v>1693844617</v>
      </c>
      <c r="M93" s="11">
        <f t="shared" si="13"/>
        <v>45173.683067129634</v>
      </c>
      <c r="O93" s="7">
        <f t="shared" si="14"/>
        <v>0</v>
      </c>
      <c r="P93" t="s">
        <v>118</v>
      </c>
      <c r="Q93" s="7" t="str">
        <f t="shared" si="15"/>
        <v>High engagement</v>
      </c>
    </row>
    <row r="94" spans="1:17">
      <c r="A94">
        <v>1239</v>
      </c>
      <c r="B94" t="s">
        <v>43</v>
      </c>
      <c r="C94" s="9" t="str">
        <f t="shared" si="8"/>
        <v>Carlos García</v>
      </c>
      <c r="D94" s="7" t="str">
        <f t="shared" si="9"/>
        <v xml:space="preserve"> Carlos García </v>
      </c>
      <c r="F94" s="7">
        <f t="shared" si="10"/>
        <v>43</v>
      </c>
      <c r="G94" t="s">
        <v>18</v>
      </c>
      <c r="H94" s="7" t="str">
        <f t="shared" si="11"/>
        <v>United Kingdom</v>
      </c>
      <c r="I94" t="s">
        <v>174</v>
      </c>
      <c r="J94" s="7" t="str">
        <f>TEXT(
  IFERROR(
    DATEVALUE(SUBSTITUTE(SUBSTITUTE(TRIM(I94),"T"," "),"Z","")),
    IFERROR(
      DATE(
        RIGHT(TRIM(I94),4),
        MID(TRIM(I94),4,2),
        LEFT(TRIM(I94),2)
      ),
      DATE(
        VALUE(RIGHT(TRIM(I94),4)),
        MATCH(LEFT(TRIM(I94),FIND(" ",TRIM(I94))-1),
          {"January","February","March","April","May","June","July","August","September","October","November","December"},0),
        VALUE(MID(TRIM(I94),
          FIND(" ",TRIM(I94))+1,
          FIND(" ",TRIM(I94),FIND(" ",TRIM(I94))+1)-FIND(" ",TRIM(I94))-1))
      )
    )
  ),
"yyyy-mm-dd")</f>
        <v>2023-02-19</v>
      </c>
      <c r="K94" s="5" t="str">
        <f t="shared" si="12"/>
        <v>Feb</v>
      </c>
      <c r="L94">
        <v>1702295482</v>
      </c>
      <c r="M94" s="11">
        <f t="shared" si="13"/>
        <v>45271.494004629625</v>
      </c>
      <c r="O94" s="7">
        <f t="shared" si="14"/>
        <v>0</v>
      </c>
      <c r="P94" t="s">
        <v>36</v>
      </c>
      <c r="Q94" s="7" t="str">
        <f t="shared" si="15"/>
        <v>Regular shopper</v>
      </c>
    </row>
    <row r="95" spans="1:17">
      <c r="A95">
        <v>1760</v>
      </c>
      <c r="B95" t="s">
        <v>101</v>
      </c>
      <c r="C95" s="9" t="str">
        <f t="shared" si="8"/>
        <v>Zoë Kravitz</v>
      </c>
      <c r="D95" s="7" t="str">
        <f t="shared" si="9"/>
        <v>Zoë Kravitz</v>
      </c>
      <c r="F95" s="7">
        <f t="shared" si="10"/>
        <v>43</v>
      </c>
      <c r="G95" t="s">
        <v>18</v>
      </c>
      <c r="H95" s="7" t="str">
        <f t="shared" si="11"/>
        <v>United Kingdom</v>
      </c>
      <c r="I95" t="s">
        <v>175</v>
      </c>
      <c r="J95" s="7" t="str">
        <f>TEXT(
  IFERROR(
    DATEVALUE(SUBSTITUTE(SUBSTITUTE(TRIM(I95),"T"," "),"Z","")),
    IFERROR(
      DATE(
        RIGHT(TRIM(I95),4),
        MID(TRIM(I95),4,2),
        LEFT(TRIM(I95),2)
      ),
      DATE(
        VALUE(RIGHT(TRIM(I95),4)),
        MATCH(LEFT(TRIM(I95),FIND(" ",TRIM(I95))-1),
          {"January","February","March","April","May","June","July","August","September","October","November","December"},0),
        VALUE(MID(TRIM(I95),
          FIND(" ",TRIM(I95))+1,
          FIND(" ",TRIM(I95),FIND(" ",TRIM(I95))+1)-FIND(" ",TRIM(I95))-1))
      )
    )
  ),
"yyyy-mm-dd")</f>
        <v>2023-08-01</v>
      </c>
      <c r="K95" s="5" t="str">
        <f t="shared" si="12"/>
        <v>Aug</v>
      </c>
      <c r="L95">
        <v>1700498097</v>
      </c>
      <c r="M95" s="11">
        <f t="shared" si="13"/>
        <v>45250.690937499996</v>
      </c>
      <c r="O95" s="7">
        <f t="shared" si="14"/>
        <v>0</v>
      </c>
      <c r="P95" t="s">
        <v>58</v>
      </c>
      <c r="Q95" s="7" t="str">
        <f t="shared" si="15"/>
        <v>Student account</v>
      </c>
    </row>
    <row r="96" spans="1:17">
      <c r="A96">
        <v>1068</v>
      </c>
      <c r="B96" t="s">
        <v>24</v>
      </c>
      <c r="C96" s="9" t="str">
        <f t="shared" si="8"/>
        <v>Renée Dupont</v>
      </c>
      <c r="D96" s="7" t="str">
        <f t="shared" si="9"/>
        <v>Renée Dupont</v>
      </c>
      <c r="E96">
        <v>46</v>
      </c>
      <c r="F96" s="7">
        <f t="shared" si="10"/>
        <v>46</v>
      </c>
      <c r="G96" t="s">
        <v>122</v>
      </c>
      <c r="H96" s="7" t="str">
        <f t="shared" si="11"/>
        <v>Italy</v>
      </c>
      <c r="I96" t="s">
        <v>176</v>
      </c>
      <c r="J96" s="7" t="str">
        <f>TEXT(
  IFERROR(
    DATEVALUE(SUBSTITUTE(SUBSTITUTE(TRIM(I96),"T"," "),"Z","")),
    IFERROR(
      DATE(
        RIGHT(TRIM(I96),4),
        MID(TRIM(I96),4,2),
        LEFT(TRIM(I96),2)
      ),
      DATE(
        VALUE(RIGHT(TRIM(I96),4)),
        MATCH(LEFT(TRIM(I96),FIND(" ",TRIM(I96))-1),
          {"January","February","March","April","May","June","July","August","September","October","November","December"},0),
        VALUE(MID(TRIM(I96),
          FIND(" ",TRIM(I96))+1,
          FIND(" ",TRIM(I96),FIND(" ",TRIM(I96))+1)-FIND(" ",TRIM(I96))-1))
      )
    )
  ),
"yyyy-mm-dd")</f>
        <v>2023-02-20</v>
      </c>
      <c r="K96" s="5" t="str">
        <f t="shared" si="12"/>
        <v>Feb</v>
      </c>
      <c r="L96">
        <v>1690793242</v>
      </c>
      <c r="M96" s="11">
        <f t="shared" si="13"/>
        <v>45138.366226851853</v>
      </c>
      <c r="O96" s="7">
        <f t="shared" si="14"/>
        <v>0</v>
      </c>
      <c r="P96" t="s">
        <v>20</v>
      </c>
      <c r="Q96" s="7" t="str">
        <f t="shared" si="15"/>
        <v xml:space="preserve">Great customer </v>
      </c>
    </row>
    <row r="97" spans="1:17">
      <c r="A97">
        <v>1816</v>
      </c>
      <c r="B97" t="s">
        <v>85</v>
      </c>
      <c r="C97" s="9" t="str">
        <f t="shared" si="8"/>
        <v>Akira Tanaka</v>
      </c>
      <c r="D97" s="7" t="str">
        <f t="shared" si="9"/>
        <v xml:space="preserve"> Akira Tanaka </v>
      </c>
      <c r="E97">
        <v>25</v>
      </c>
      <c r="F97" s="7">
        <f t="shared" si="10"/>
        <v>25</v>
      </c>
      <c r="G97" t="s">
        <v>22</v>
      </c>
      <c r="H97" s="7" t="str">
        <f t="shared" si="11"/>
        <v>Germany</v>
      </c>
      <c r="I97" t="s">
        <v>177</v>
      </c>
      <c r="J97" s="7" t="str">
        <f>TEXT(
  IFERROR(
    DATEVALUE(SUBSTITUTE(SUBSTITUTE(TRIM(I97),"T"," "),"Z","")),
    IFERROR(
      DATE(
        RIGHT(TRIM(I97),4),
        MID(TRIM(I97),4,2),
        LEFT(TRIM(I97),2)
      ),
      DATE(
        VALUE(RIGHT(TRIM(I97),4)),
        MATCH(LEFT(TRIM(I97),FIND(" ",TRIM(I97))-1),
          {"January","February","March","April","May","June","July","August","September","October","November","December"},0),
        VALUE(MID(TRIM(I97),
          FIND(" ",TRIM(I97))+1,
          FIND(" ",TRIM(I97),FIND(" ",TRIM(I97))+1)-FIND(" ",TRIM(I97))-1))
      )
    )
  ),
"yyyy-mm-dd")</f>
        <v>2023-11-25</v>
      </c>
      <c r="K97" s="5" t="str">
        <f t="shared" si="12"/>
        <v>Nov</v>
      </c>
      <c r="L97">
        <v>1673240637</v>
      </c>
      <c r="M97" s="11">
        <f t="shared" si="13"/>
        <v>44935.211076388892</v>
      </c>
      <c r="O97" s="7">
        <f t="shared" si="14"/>
        <v>0</v>
      </c>
      <c r="P97" t="s">
        <v>40</v>
      </c>
      <c r="Q97" s="7" t="str">
        <f t="shared" si="15"/>
        <v xml:space="preserve">VIP client </v>
      </c>
    </row>
    <row r="98" spans="1:17">
      <c r="A98">
        <v>1258</v>
      </c>
      <c r="B98" t="s">
        <v>164</v>
      </c>
      <c r="C98" s="9" t="str">
        <f t="shared" si="8"/>
        <v>Daniel Kim</v>
      </c>
      <c r="D98" s="7" t="str">
        <f t="shared" si="9"/>
        <v xml:space="preserve"> Daniel Kim </v>
      </c>
      <c r="E98">
        <v>31</v>
      </c>
      <c r="F98" s="7">
        <f t="shared" si="10"/>
        <v>31</v>
      </c>
      <c r="G98" t="s">
        <v>22</v>
      </c>
      <c r="H98" s="7" t="str">
        <f t="shared" si="11"/>
        <v>Germany</v>
      </c>
      <c r="I98" t="s">
        <v>178</v>
      </c>
      <c r="J98" s="7" t="str">
        <f>TEXT(
  IFERROR(
    DATEVALUE(SUBSTITUTE(SUBSTITUTE(TRIM(I98),"T"," "),"Z","")),
    IFERROR(
      DATE(
        RIGHT(TRIM(I98),4),
        MID(TRIM(I98),4,2),
        LEFT(TRIM(I98),2)
      ),
      DATE(
        VALUE(RIGHT(TRIM(I98),4)),
        MATCH(LEFT(TRIM(I98),FIND(" ",TRIM(I98))-1),
          {"January","February","March","April","May","June","July","August","September","October","November","December"},0),
        VALUE(MID(TRIM(I98),
          FIND(" ",TRIM(I98))+1,
          FIND(" ",TRIM(I98),FIND(" ",TRIM(I98))+1)-FIND(" ",TRIM(I98))-1))
      )
    )
  ),
"yyyy-mm-dd")</f>
        <v>2023-04-30</v>
      </c>
      <c r="K98" s="5" t="str">
        <f t="shared" si="12"/>
        <v>Apr</v>
      </c>
      <c r="L98">
        <v>1698507497</v>
      </c>
      <c r="M98" s="11">
        <f t="shared" si="13"/>
        <v>45227.651585648149</v>
      </c>
      <c r="N98">
        <v>229.86</v>
      </c>
      <c r="O98" s="7">
        <f t="shared" si="14"/>
        <v>229.86</v>
      </c>
      <c r="P98" t="s">
        <v>58</v>
      </c>
      <c r="Q98" s="7" t="str">
        <f t="shared" si="15"/>
        <v>Student account</v>
      </c>
    </row>
    <row r="99" spans="1:17">
      <c r="A99">
        <v>1297</v>
      </c>
      <c r="B99" t="s">
        <v>56</v>
      </c>
      <c r="C99" s="9" t="str">
        <f t="shared" si="8"/>
        <v>Carlos García</v>
      </c>
      <c r="D99" s="7" t="str">
        <f t="shared" si="9"/>
        <v>Carlos García</v>
      </c>
      <c r="E99">
        <v>25</v>
      </c>
      <c r="F99" s="7">
        <f t="shared" si="10"/>
        <v>25</v>
      </c>
      <c r="G99" t="s">
        <v>29</v>
      </c>
      <c r="H99" s="7" t="str">
        <f t="shared" si="11"/>
        <v>United States</v>
      </c>
      <c r="I99" t="s">
        <v>179</v>
      </c>
      <c r="J99" s="7" t="str">
        <f>TEXT(
  IFERROR(
    DATEVALUE(SUBSTITUTE(SUBSTITUTE(TRIM(I99),"T"," "),"Z","")),
    IFERROR(
      DATE(
        RIGHT(TRIM(I99),4),
        MID(TRIM(I99),4,2),
        LEFT(TRIM(I99),2)
      ),
      DATE(
        VALUE(RIGHT(TRIM(I99),4)),
        MATCH(LEFT(TRIM(I99),FIND(" ",TRIM(I99))-1),
          {"January","February","March","April","May","June","July","August","September","October","November","December"},0),
        VALUE(MID(TRIM(I99),
          FIND(" ",TRIM(I99))+1,
          FIND(" ",TRIM(I99),FIND(" ",TRIM(I99))+1)-FIND(" ",TRIM(I99))-1))
      )
    )
  ),
"yyyy-mm-dd")</f>
        <v>2023-03-09</v>
      </c>
      <c r="K99" s="5" t="str">
        <f t="shared" si="12"/>
        <v>Mar</v>
      </c>
      <c r="L99">
        <v>1684544616</v>
      </c>
      <c r="M99" s="11">
        <f t="shared" si="13"/>
        <v>45066.044166666667</v>
      </c>
      <c r="N99">
        <v>1187.08</v>
      </c>
      <c r="O99" s="7">
        <f t="shared" si="14"/>
        <v>1187.08</v>
      </c>
      <c r="P99" t="s">
        <v>27</v>
      </c>
      <c r="Q99" s="7" t="str">
        <f t="shared" si="15"/>
        <v xml:space="preserve">Holiday signup </v>
      </c>
    </row>
    <row r="100" spans="1:17">
      <c r="A100">
        <v>1664</v>
      </c>
      <c r="B100" t="s">
        <v>94</v>
      </c>
      <c r="C100" s="9" t="str">
        <f t="shared" si="8"/>
        <v>John Smith</v>
      </c>
      <c r="D100" s="7" t="str">
        <f t="shared" si="9"/>
        <v xml:space="preserve"> John Smith </v>
      </c>
      <c r="E100">
        <v>26</v>
      </c>
      <c r="F100" s="7">
        <f t="shared" si="10"/>
        <v>26</v>
      </c>
      <c r="G100" t="s">
        <v>44</v>
      </c>
      <c r="H100" s="7" t="str">
        <f t="shared" si="11"/>
        <v>UAE</v>
      </c>
      <c r="I100" t="s">
        <v>180</v>
      </c>
      <c r="J100" s="7" t="str">
        <f>TEXT(
  IFERROR(
    DATEVALUE(SUBSTITUTE(SUBSTITUTE(TRIM(I100),"T"," "),"Z","")),
    IFERROR(
      DATE(
        RIGHT(TRIM(I100),4),
        MID(TRIM(I100),4,2),
        LEFT(TRIM(I100),2)
      ),
      DATE(
        VALUE(RIGHT(TRIM(I100),4)),
        MATCH(LEFT(TRIM(I100),FIND(" ",TRIM(I100))-1),
          {"January","February","March","April","May","June","July","August","September","October","November","December"},0),
        VALUE(MID(TRIM(I100),
          FIND(" ",TRIM(I100))+1,
          FIND(" ",TRIM(I100),FIND(" ",TRIM(I100))+1)-FIND(" ",TRIM(I100))-1))
      )
    )
  ),
"yyyy-mm-dd")</f>
        <v>2023-09-27</v>
      </c>
      <c r="K100" s="5" t="str">
        <f t="shared" si="12"/>
        <v>Sep</v>
      </c>
      <c r="L100">
        <v>1697544374</v>
      </c>
      <c r="M100" s="11">
        <f t="shared" si="13"/>
        <v>45216.504328703704</v>
      </c>
      <c r="O100" s="7">
        <f t="shared" si="14"/>
        <v>0</v>
      </c>
      <c r="P100" t="s">
        <v>84</v>
      </c>
      <c r="Q100" s="7" t="str">
        <f t="shared" si="15"/>
        <v xml:space="preserve">Newsletter subscriber </v>
      </c>
    </row>
    <row r="101" spans="1:17">
      <c r="A101">
        <v>2052</v>
      </c>
      <c r="B101" t="s">
        <v>164</v>
      </c>
      <c r="C101" s="9" t="str">
        <f t="shared" si="8"/>
        <v>Daniel Kim</v>
      </c>
      <c r="D101" s="7" t="str">
        <f t="shared" si="9"/>
        <v xml:space="preserve"> Daniel Kim </v>
      </c>
      <c r="E101">
        <v>32</v>
      </c>
      <c r="F101" s="7">
        <f t="shared" si="10"/>
        <v>32</v>
      </c>
      <c r="G101" t="s">
        <v>29</v>
      </c>
      <c r="H101" s="7" t="str">
        <f t="shared" si="11"/>
        <v>United States</v>
      </c>
      <c r="I101" t="s">
        <v>181</v>
      </c>
      <c r="J101" s="7" t="str">
        <f>TEXT(
  IFERROR(
    DATEVALUE(SUBSTITUTE(SUBSTITUTE(TRIM(I101),"T"," "),"Z","")),
    IFERROR(
      DATE(
        RIGHT(TRIM(I101),4),
        MID(TRIM(I101),4,2),
        LEFT(TRIM(I101),2)
      ),
      DATE(
        VALUE(RIGHT(TRIM(I101),4)),
        MATCH(LEFT(TRIM(I101),FIND(" ",TRIM(I101))-1),
          {"January","February","March","April","May","June","July","August","September","October","November","December"},0),
        VALUE(MID(TRIM(I101),
          FIND(" ",TRIM(I101))+1,
          FIND(" ",TRIM(I101),FIND(" ",TRIM(I101))+1)-FIND(" ",TRIM(I101))-1))
      )
    )
  ),
"yyyy-mm-dd")</f>
        <v>2023-12-04</v>
      </c>
      <c r="K101" s="5" t="str">
        <f t="shared" si="12"/>
        <v>Dec</v>
      </c>
      <c r="L101">
        <v>1682645034</v>
      </c>
      <c r="M101" s="11">
        <f t="shared" si="13"/>
        <v>45044.058263888888</v>
      </c>
      <c r="N101">
        <v>692.48</v>
      </c>
      <c r="O101" s="7">
        <f t="shared" si="14"/>
        <v>692.48</v>
      </c>
      <c r="P101" t="s">
        <v>20</v>
      </c>
      <c r="Q101" s="7" t="str">
        <f t="shared" si="15"/>
        <v xml:space="preserve">Great customer </v>
      </c>
    </row>
    <row r="102" spans="1:17">
      <c r="A102">
        <v>1981</v>
      </c>
      <c r="B102" t="s">
        <v>126</v>
      </c>
      <c r="C102" s="9" t="str">
        <f t="shared" si="8"/>
        <v>Noah Martin</v>
      </c>
      <c r="D102" s="7" t="str">
        <f t="shared" si="9"/>
        <v>Noah Martin</v>
      </c>
      <c r="E102">
        <v>49</v>
      </c>
      <c r="F102" s="7">
        <f t="shared" si="10"/>
        <v>49</v>
      </c>
      <c r="G102" t="s">
        <v>111</v>
      </c>
      <c r="H102" s="7" t="str">
        <f t="shared" si="11"/>
        <v>South Korea</v>
      </c>
      <c r="I102" t="s">
        <v>182</v>
      </c>
      <c r="J102" s="7" t="str">
        <f>TEXT(
  IFERROR(
    DATEVALUE(SUBSTITUTE(SUBSTITUTE(TRIM(I102),"T"," "),"Z","")),
    IFERROR(
      DATE(
        RIGHT(TRIM(I102),4),
        MID(TRIM(I102),4,2),
        LEFT(TRIM(I102),2)
      ),
      DATE(
        VALUE(RIGHT(TRIM(I102),4)),
        MATCH(LEFT(TRIM(I102),FIND(" ",TRIM(I102))-1),
          {"January","February","March","April","May","June","July","August","September","October","November","December"},0),
        VALUE(MID(TRIM(I102),
          FIND(" ",TRIM(I102))+1,
          FIND(" ",TRIM(I102),FIND(" ",TRIM(I102))+1)-FIND(" ",TRIM(I102))-1))
      )
    )
  ),
"yyyy-mm-dd")</f>
        <v>2023-02-07</v>
      </c>
      <c r="K102" s="5" t="str">
        <f t="shared" si="12"/>
        <v>Feb</v>
      </c>
      <c r="L102">
        <v>1683332279</v>
      </c>
      <c r="M102" s="11">
        <f t="shared" si="13"/>
        <v>45052.012488425928</v>
      </c>
      <c r="N102">
        <v>916.36</v>
      </c>
      <c r="O102" s="7">
        <f t="shared" si="14"/>
        <v>916.36</v>
      </c>
      <c r="P102" t="s">
        <v>33</v>
      </c>
      <c r="Q102" s="7" t="str">
        <f t="shared" si="15"/>
        <v>Frequent buyer n</v>
      </c>
    </row>
    <row r="103" spans="1:17">
      <c r="A103">
        <v>1564</v>
      </c>
      <c r="B103" t="s">
        <v>183</v>
      </c>
      <c r="C103" s="9" t="str">
        <f t="shared" si="8"/>
        <v>Mia Thompson</v>
      </c>
      <c r="D103" s="7" t="str">
        <f t="shared" si="9"/>
        <v>Mia Thompson</v>
      </c>
      <c r="F103" s="7">
        <f t="shared" si="10"/>
        <v>43</v>
      </c>
      <c r="G103" t="s">
        <v>116</v>
      </c>
      <c r="H103" s="7" t="str">
        <f t="shared" si="11"/>
        <v>China</v>
      </c>
      <c r="I103" t="s">
        <v>184</v>
      </c>
      <c r="J103" s="7" t="str">
        <f>TEXT(
  IFERROR(
    DATEVALUE(SUBSTITUTE(SUBSTITUTE(TRIM(I103),"T"," "),"Z","")),
    IFERROR(
      DATE(
        RIGHT(TRIM(I103),4),
        MID(TRIM(I103),4,2),
        LEFT(TRIM(I103),2)
      ),
      DATE(
        VALUE(RIGHT(TRIM(I103),4)),
        MATCH(LEFT(TRIM(I103),FIND(" ",TRIM(I103))-1),
          {"January","February","March","April","May","June","July","August","September","October","November","December"},0),
        VALUE(MID(TRIM(I103),
          FIND(" ",TRIM(I103))+1,
          FIND(" ",TRIM(I103),FIND(" ",TRIM(I103))+1)-FIND(" ",TRIM(I103))-1))
      )
    )
  ),
"yyyy-mm-dd")</f>
        <v>2023-11-02</v>
      </c>
      <c r="K103" s="5" t="str">
        <f t="shared" si="12"/>
        <v>Nov</v>
      </c>
      <c r="L103">
        <v>1682419126</v>
      </c>
      <c r="M103" s="11">
        <f t="shared" si="13"/>
        <v>45041.44358796296</v>
      </c>
      <c r="O103" s="7">
        <f t="shared" si="14"/>
        <v>0</v>
      </c>
      <c r="P103" t="s">
        <v>52</v>
      </c>
      <c r="Q103" s="7" t="str">
        <f t="shared" si="15"/>
        <v xml:space="preserve">Prefers email </v>
      </c>
    </row>
    <row r="104" spans="1:17">
      <c r="A104">
        <v>1235</v>
      </c>
      <c r="B104" t="s">
        <v>185</v>
      </c>
      <c r="C104" s="9" t="str">
        <f t="shared" si="8"/>
        <v>Liam O’Connor</v>
      </c>
      <c r="D104" s="7" t="str">
        <f t="shared" si="9"/>
        <v>Liam O’Connor</v>
      </c>
      <c r="E104">
        <v>53</v>
      </c>
      <c r="F104" s="7">
        <f t="shared" si="10"/>
        <v>53</v>
      </c>
      <c r="G104" t="s">
        <v>44</v>
      </c>
      <c r="H104" s="7" t="str">
        <f t="shared" si="11"/>
        <v>UAE</v>
      </c>
      <c r="I104" t="s">
        <v>186</v>
      </c>
      <c r="J104" s="7" t="str">
        <f>TEXT(
  IFERROR(
    DATEVALUE(SUBSTITUTE(SUBSTITUTE(TRIM(I104),"T"," "),"Z","")),
    IFERROR(
      DATE(
        RIGHT(TRIM(I104),4),
        MID(TRIM(I104),4,2),
        LEFT(TRIM(I104),2)
      ),
      DATE(
        VALUE(RIGHT(TRIM(I104),4)),
        MATCH(LEFT(TRIM(I104),FIND(" ",TRIM(I104))-1),
          {"January","February","March","April","May","June","July","August","September","October","November","December"},0),
        VALUE(MID(TRIM(I104),
          FIND(" ",TRIM(I104))+1,
          FIND(" ",TRIM(I104),FIND(" ",TRIM(I104))+1)-FIND(" ",TRIM(I104))-1))
      )
    )
  ),
"yyyy-mm-dd")</f>
        <v>2023-08-20</v>
      </c>
      <c r="K104" s="5" t="str">
        <f t="shared" si="12"/>
        <v>Aug</v>
      </c>
      <c r="L104">
        <v>1686409279</v>
      </c>
      <c r="M104" s="11">
        <f t="shared" si="13"/>
        <v>45087.625914351855</v>
      </c>
      <c r="O104" s="7">
        <f t="shared" si="14"/>
        <v>0</v>
      </c>
      <c r="P104" t="s">
        <v>118</v>
      </c>
      <c r="Q104" s="7" t="str">
        <f t="shared" si="15"/>
        <v>High engagement</v>
      </c>
    </row>
    <row r="105" spans="1:17">
      <c r="A105">
        <v>1852</v>
      </c>
      <c r="B105" t="s">
        <v>187</v>
      </c>
      <c r="C105" s="9" t="str">
        <f t="shared" si="8"/>
        <v>André Santos</v>
      </c>
      <c r="D105" s="7" t="str">
        <f t="shared" si="9"/>
        <v xml:space="preserve"> André Santos </v>
      </c>
      <c r="E105">
        <v>38</v>
      </c>
      <c r="F105" s="7">
        <f t="shared" si="10"/>
        <v>38</v>
      </c>
      <c r="G105" t="s">
        <v>54</v>
      </c>
      <c r="H105" s="7" t="str">
        <f t="shared" si="11"/>
        <v>Brazil</v>
      </c>
      <c r="I105" t="s">
        <v>188</v>
      </c>
      <c r="J105" s="7" t="str">
        <f>TEXT(
  IFERROR(
    DATEVALUE(SUBSTITUTE(SUBSTITUTE(TRIM(I105),"T"," "),"Z","")),
    IFERROR(
      DATE(
        RIGHT(TRIM(I105),4),
        MID(TRIM(I105),4,2),
        LEFT(TRIM(I105),2)
      ),
      DATE(
        VALUE(RIGHT(TRIM(I105),4)),
        MATCH(LEFT(TRIM(I105),FIND(" ",TRIM(I105))-1),
          {"January","February","March","April","May","June","July","August","September","October","November","December"},0),
        VALUE(MID(TRIM(I105),
          FIND(" ",TRIM(I105))+1,
          FIND(" ",TRIM(I105),FIND(" ",TRIM(I105))+1)-FIND(" ",TRIM(I105))-1))
      )
    )
  ),
"yyyy-mm-dd")</f>
        <v>2023-07-11</v>
      </c>
      <c r="K105" s="5" t="str">
        <f t="shared" si="12"/>
        <v>Jul</v>
      </c>
      <c r="L105">
        <v>1695569889</v>
      </c>
      <c r="M105" s="11">
        <f t="shared" si="13"/>
        <v>45193.651493055557</v>
      </c>
      <c r="N105">
        <v>1385.25</v>
      </c>
      <c r="O105" s="7">
        <f t="shared" si="14"/>
        <v>1385.25</v>
      </c>
      <c r="P105" t="s">
        <v>52</v>
      </c>
      <c r="Q105" s="7" t="str">
        <f t="shared" si="15"/>
        <v xml:space="preserve">Prefers email </v>
      </c>
    </row>
    <row r="106" spans="1:17">
      <c r="A106">
        <v>1175</v>
      </c>
      <c r="B106" t="s">
        <v>47</v>
      </c>
      <c r="C106" s="9" t="str">
        <f t="shared" si="8"/>
        <v>Li Wei</v>
      </c>
      <c r="D106" s="7" t="str">
        <f t="shared" si="9"/>
        <v>Li Wei</v>
      </c>
      <c r="F106" s="7">
        <f t="shared" si="10"/>
        <v>43</v>
      </c>
      <c r="G106" t="s">
        <v>18</v>
      </c>
      <c r="H106" s="7" t="str">
        <f t="shared" si="11"/>
        <v>United Kingdom</v>
      </c>
      <c r="I106" t="s">
        <v>189</v>
      </c>
      <c r="J106" s="7" t="str">
        <f>TEXT(
  IFERROR(
    DATEVALUE(SUBSTITUTE(SUBSTITUTE(TRIM(I106),"T"," "),"Z","")),
    IFERROR(
      DATE(
        RIGHT(TRIM(I106),4),
        MID(TRIM(I106),4,2),
        LEFT(TRIM(I106),2)
      ),
      DATE(
        VALUE(RIGHT(TRIM(I106),4)),
        MATCH(LEFT(TRIM(I106),FIND(" ",TRIM(I106))-1),
          {"January","February","March","April","May","June","July","August","September","October","November","December"},0),
        VALUE(MID(TRIM(I106),
          FIND(" ",TRIM(I106))+1,
          FIND(" ",TRIM(I106),FIND(" ",TRIM(I106))+1)-FIND(" ",TRIM(I106))-1))
      )
    )
  ),
"yyyy-mm-dd")</f>
        <v>2023-10-12</v>
      </c>
      <c r="K106" s="5" t="str">
        <f t="shared" si="12"/>
        <v>Oct</v>
      </c>
      <c r="L106">
        <v>1692202502</v>
      </c>
      <c r="M106" s="11">
        <f t="shared" si="13"/>
        <v>45154.677106481482</v>
      </c>
      <c r="O106" s="7">
        <f t="shared" si="14"/>
        <v>0</v>
      </c>
      <c r="P106" t="s">
        <v>52</v>
      </c>
      <c r="Q106" s="7" t="str">
        <f t="shared" si="15"/>
        <v xml:space="preserve">Prefers email </v>
      </c>
    </row>
    <row r="107" spans="1:17">
      <c r="A107">
        <v>1842</v>
      </c>
      <c r="B107" t="s">
        <v>90</v>
      </c>
      <c r="C107" s="9" t="str">
        <f t="shared" si="8"/>
        <v>Olivia Wilson</v>
      </c>
      <c r="D107" s="7" t="str">
        <f t="shared" si="9"/>
        <v>Olivia Wilson</v>
      </c>
      <c r="E107">
        <v>45</v>
      </c>
      <c r="F107" s="7">
        <f t="shared" si="10"/>
        <v>45</v>
      </c>
      <c r="G107" t="s">
        <v>102</v>
      </c>
      <c r="H107" s="7" t="str">
        <f t="shared" si="11"/>
        <v>Mexico</v>
      </c>
      <c r="I107" t="s">
        <v>190</v>
      </c>
      <c r="J107" s="7" t="str">
        <f>TEXT(
  IFERROR(
    DATEVALUE(SUBSTITUTE(SUBSTITUTE(TRIM(I107),"T"," "),"Z","")),
    IFERROR(
      DATE(
        RIGHT(TRIM(I107),4),
        MID(TRIM(I107),4,2),
        LEFT(TRIM(I107),2)
      ),
      DATE(
        VALUE(RIGHT(TRIM(I107),4)),
        MATCH(LEFT(TRIM(I107),FIND(" ",TRIM(I107))-1),
          {"January","February","March","April","May","June","July","August","September","October","November","December"},0),
        VALUE(MID(TRIM(I107),
          FIND(" ",TRIM(I107))+1,
          FIND(" ",TRIM(I107),FIND(" ",TRIM(I107))+1)-FIND(" ",TRIM(I107))-1))
      )
    )
  ),
"yyyy-mm-dd")</f>
        <v>2023-04-11</v>
      </c>
      <c r="K107" s="5" t="str">
        <f t="shared" si="12"/>
        <v>Apr</v>
      </c>
      <c r="L107">
        <v>1684323288</v>
      </c>
      <c r="M107" s="11">
        <f t="shared" si="13"/>
        <v>45063.482499999998</v>
      </c>
      <c r="N107">
        <v>164.36</v>
      </c>
      <c r="O107" s="7">
        <f t="shared" si="14"/>
        <v>164.36</v>
      </c>
      <c r="P107" t="s">
        <v>33</v>
      </c>
      <c r="Q107" s="7" t="str">
        <f t="shared" si="15"/>
        <v>Frequent buyer n</v>
      </c>
    </row>
    <row r="108" spans="1:17">
      <c r="A108">
        <v>1988</v>
      </c>
      <c r="B108" t="s">
        <v>72</v>
      </c>
      <c r="C108" s="9" t="str">
        <f t="shared" si="8"/>
        <v>Emily Davis</v>
      </c>
      <c r="D108" s="7" t="str">
        <f t="shared" si="9"/>
        <v>Emily Davis</v>
      </c>
      <c r="F108" s="7">
        <f t="shared" si="10"/>
        <v>43</v>
      </c>
      <c r="G108" t="s">
        <v>18</v>
      </c>
      <c r="H108" s="7" t="str">
        <f t="shared" si="11"/>
        <v>United Kingdom</v>
      </c>
      <c r="I108" t="s">
        <v>191</v>
      </c>
      <c r="J108" s="7" t="str">
        <f>TEXT(
  IFERROR(
    DATEVALUE(SUBSTITUTE(SUBSTITUTE(TRIM(I108),"T"," "),"Z","")),
    IFERROR(
      DATE(
        RIGHT(TRIM(I108),4),
        MID(TRIM(I108),4,2),
        LEFT(TRIM(I108),2)
      ),
      DATE(
        VALUE(RIGHT(TRIM(I108),4)),
        MATCH(LEFT(TRIM(I108),FIND(" ",TRIM(I108))-1),
          {"January","February","March","April","May","June","July","August","September","October","November","December"},0),
        VALUE(MID(TRIM(I108),
          FIND(" ",TRIM(I108))+1,
          FIND(" ",TRIM(I108),FIND(" ",TRIM(I108))+1)-FIND(" ",TRIM(I108))-1))
      )
    )
  ),
"yyyy-mm-dd")</f>
        <v>2023-05-23</v>
      </c>
      <c r="K108" s="5" t="str">
        <f t="shared" si="12"/>
        <v>May</v>
      </c>
      <c r="L108">
        <v>1680112639</v>
      </c>
      <c r="M108" s="11">
        <f t="shared" si="13"/>
        <v>45014.748136574075</v>
      </c>
      <c r="N108">
        <v>1212.76</v>
      </c>
      <c r="O108" s="7">
        <f t="shared" si="14"/>
        <v>1212.76</v>
      </c>
      <c r="P108" t="s">
        <v>27</v>
      </c>
      <c r="Q108" s="7" t="str">
        <f t="shared" si="15"/>
        <v xml:space="preserve">Holiday signup </v>
      </c>
    </row>
    <row r="109" spans="1:17">
      <c r="A109">
        <v>1548</v>
      </c>
      <c r="B109" t="s">
        <v>94</v>
      </c>
      <c r="C109" s="9" t="str">
        <f t="shared" si="8"/>
        <v>John Smith</v>
      </c>
      <c r="D109" s="7" t="str">
        <f t="shared" si="9"/>
        <v xml:space="preserve"> John Smith </v>
      </c>
      <c r="F109" s="7">
        <f t="shared" si="10"/>
        <v>43</v>
      </c>
      <c r="G109" t="s">
        <v>122</v>
      </c>
      <c r="H109" s="7" t="str">
        <f t="shared" si="11"/>
        <v>Italy</v>
      </c>
      <c r="I109" t="s">
        <v>192</v>
      </c>
      <c r="J109" s="7" t="str">
        <f>TEXT(
  IFERROR(
    DATEVALUE(SUBSTITUTE(SUBSTITUTE(TRIM(I109),"T"," "),"Z","")),
    IFERROR(
      DATE(
        RIGHT(TRIM(I109),4),
        MID(TRIM(I109),4,2),
        LEFT(TRIM(I109),2)
      ),
      DATE(
        VALUE(RIGHT(TRIM(I109),4)),
        MATCH(LEFT(TRIM(I109),FIND(" ",TRIM(I109))-1),
          {"January","February","March","April","May","June","July","August","September","October","November","December"},0),
        VALUE(MID(TRIM(I109),
          FIND(" ",TRIM(I109))+1,
          FIND(" ",TRIM(I109),FIND(" ",TRIM(I109))+1)-FIND(" ",TRIM(I109))-1))
      )
    )
  ),
"yyyy-mm-dd")</f>
        <v>2023-01-04</v>
      </c>
      <c r="K109" s="5" t="str">
        <f t="shared" si="12"/>
        <v>Jan</v>
      </c>
      <c r="L109">
        <v>1701711749</v>
      </c>
      <c r="M109" s="11">
        <f t="shared" si="13"/>
        <v>45264.737835648149</v>
      </c>
      <c r="O109" s="7">
        <f t="shared" si="14"/>
        <v>0</v>
      </c>
      <c r="P109" t="s">
        <v>52</v>
      </c>
      <c r="Q109" s="7" t="str">
        <f t="shared" si="15"/>
        <v xml:space="preserve">Prefers email </v>
      </c>
    </row>
    <row r="110" spans="1:17">
      <c r="A110">
        <v>1291</v>
      </c>
      <c r="B110" t="s">
        <v>88</v>
      </c>
      <c r="C110" s="9" t="str">
        <f t="shared" si="8"/>
        <v>André Santos</v>
      </c>
      <c r="D110" s="7" t="str">
        <f t="shared" si="9"/>
        <v>André Santos</v>
      </c>
      <c r="E110">
        <v>23</v>
      </c>
      <c r="F110" s="7">
        <f t="shared" si="10"/>
        <v>23</v>
      </c>
      <c r="G110" t="s">
        <v>67</v>
      </c>
      <c r="H110" s="7" t="str">
        <f t="shared" si="11"/>
        <v>Sweden</v>
      </c>
      <c r="I110" t="s">
        <v>193</v>
      </c>
      <c r="J110" s="7" t="str">
        <f>TEXT(
  IFERROR(
    DATEVALUE(SUBSTITUTE(SUBSTITUTE(TRIM(I110),"T"," "),"Z","")),
    IFERROR(
      DATE(
        RIGHT(TRIM(I110),4),
        MID(TRIM(I110),4,2),
        LEFT(TRIM(I110),2)
      ),
      DATE(
        VALUE(RIGHT(TRIM(I110),4)),
        MATCH(LEFT(TRIM(I110),FIND(" ",TRIM(I110))-1),
          {"January","February","March","April","May","June","July","August","September","October","November","December"},0),
        VALUE(MID(TRIM(I110),
          FIND(" ",TRIM(I110))+1,
          FIND(" ",TRIM(I110),FIND(" ",TRIM(I110))+1)-FIND(" ",TRIM(I110))-1))
      )
    )
  ),
"yyyy-mm-dd")</f>
        <v>2023-04-21</v>
      </c>
      <c r="K110" s="5" t="str">
        <f t="shared" si="12"/>
        <v>Apr</v>
      </c>
      <c r="L110">
        <v>1686611240</v>
      </c>
      <c r="M110" s="11">
        <f t="shared" si="13"/>
        <v>45089.963425925926</v>
      </c>
      <c r="N110">
        <v>685.93</v>
      </c>
      <c r="O110" s="7">
        <f t="shared" si="14"/>
        <v>685.93</v>
      </c>
      <c r="P110" t="s">
        <v>84</v>
      </c>
      <c r="Q110" s="7" t="str">
        <f t="shared" si="15"/>
        <v xml:space="preserve">Newsletter subscriber </v>
      </c>
    </row>
    <row r="111" spans="1:17">
      <c r="A111">
        <v>1639</v>
      </c>
      <c r="B111" t="s">
        <v>88</v>
      </c>
      <c r="C111" s="9" t="str">
        <f t="shared" si="8"/>
        <v>André Santos</v>
      </c>
      <c r="D111" s="7" t="str">
        <f t="shared" si="9"/>
        <v>André Santos</v>
      </c>
      <c r="E111">
        <v>54</v>
      </c>
      <c r="F111" s="7">
        <f t="shared" si="10"/>
        <v>54</v>
      </c>
      <c r="G111" t="s">
        <v>29</v>
      </c>
      <c r="H111" s="7" t="str">
        <f t="shared" si="11"/>
        <v>United States</v>
      </c>
      <c r="I111" t="s">
        <v>76</v>
      </c>
      <c r="J111" s="7" t="str">
        <f>TEXT(
  IFERROR(
    DATEVALUE(SUBSTITUTE(SUBSTITUTE(TRIM(I111),"T"," "),"Z","")),
    IFERROR(
      DATE(
        RIGHT(TRIM(I111),4),
        MID(TRIM(I111),4,2),
        LEFT(TRIM(I111),2)
      ),
      DATE(
        VALUE(RIGHT(TRIM(I111),4)),
        MATCH(LEFT(TRIM(I111),FIND(" ",TRIM(I111))-1),
          {"January","February","March","April","May","June","July","August","September","October","November","December"},0),
        VALUE(MID(TRIM(I111),
          FIND(" ",TRIM(I111))+1,
          FIND(" ",TRIM(I111),FIND(" ",TRIM(I111))+1)-FIND(" ",TRIM(I111))-1))
      )
    )
  ),
"yyyy-mm-dd")</f>
        <v>2023-03-21</v>
      </c>
      <c r="K111" s="5" t="str">
        <f t="shared" si="12"/>
        <v>Mar</v>
      </c>
      <c r="L111">
        <v>1697838667</v>
      </c>
      <c r="M111" s="11">
        <f t="shared" si="13"/>
        <v>45219.910497685181</v>
      </c>
      <c r="N111">
        <v>930.58</v>
      </c>
      <c r="O111" s="7">
        <f t="shared" si="14"/>
        <v>930.58</v>
      </c>
      <c r="P111" t="s">
        <v>58</v>
      </c>
      <c r="Q111" s="7" t="str">
        <f t="shared" si="15"/>
        <v>Student account</v>
      </c>
    </row>
    <row r="112" spans="1:17">
      <c r="A112">
        <v>1908</v>
      </c>
      <c r="B112" t="s">
        <v>101</v>
      </c>
      <c r="C112" s="9" t="str">
        <f t="shared" si="8"/>
        <v>Zoë Kravitz</v>
      </c>
      <c r="D112" s="7" t="str">
        <f t="shared" si="9"/>
        <v>Zoë Kravitz</v>
      </c>
      <c r="F112" s="7">
        <f t="shared" si="10"/>
        <v>43</v>
      </c>
      <c r="G112" t="s">
        <v>54</v>
      </c>
      <c r="H112" s="7" t="str">
        <f t="shared" si="11"/>
        <v>Brazil</v>
      </c>
      <c r="I112" t="s">
        <v>194</v>
      </c>
      <c r="J112" s="7" t="str">
        <f>TEXT(
  IFERROR(
    DATEVALUE(SUBSTITUTE(SUBSTITUTE(TRIM(I112),"T"," "),"Z","")),
    IFERROR(
      DATE(
        RIGHT(TRIM(I112),4),
        MID(TRIM(I112),4,2),
        LEFT(TRIM(I112),2)
      ),
      DATE(
        VALUE(RIGHT(TRIM(I112),4)),
        MATCH(LEFT(TRIM(I112),FIND(" ",TRIM(I112))-1),
          {"January","February","March","April","May","June","July","August","September","October","November","December"},0),
        VALUE(MID(TRIM(I112),
          FIND(" ",TRIM(I112))+1,
          FIND(" ",TRIM(I112),FIND(" ",TRIM(I112))+1)-FIND(" ",TRIM(I112))-1))
      )
    )
  ),
"yyyy-mm-dd")</f>
        <v>2023-04-21</v>
      </c>
      <c r="K112" s="5" t="str">
        <f t="shared" si="12"/>
        <v>Apr</v>
      </c>
      <c r="L112">
        <v>1676343081</v>
      </c>
      <c r="M112" s="11">
        <f t="shared" si="13"/>
        <v>44971.118993055556</v>
      </c>
      <c r="N112">
        <v>524.30999999999995</v>
      </c>
      <c r="O112" s="7">
        <f t="shared" si="14"/>
        <v>524.30999999999995</v>
      </c>
      <c r="P112" t="s">
        <v>58</v>
      </c>
      <c r="Q112" s="7" t="str">
        <f t="shared" si="15"/>
        <v>Student account</v>
      </c>
    </row>
    <row r="113" spans="1:17">
      <c r="A113">
        <v>1997</v>
      </c>
      <c r="B113" t="s">
        <v>80</v>
      </c>
      <c r="C113" s="9" t="str">
        <f t="shared" si="8"/>
        <v>Ahmed Hassan</v>
      </c>
      <c r="D113" s="7" t="str">
        <f t="shared" si="9"/>
        <v>Ahmed Hassan</v>
      </c>
      <c r="F113" s="7">
        <f t="shared" si="10"/>
        <v>43</v>
      </c>
      <c r="G113" t="s">
        <v>29</v>
      </c>
      <c r="H113" s="7" t="str">
        <f t="shared" si="11"/>
        <v>United States</v>
      </c>
      <c r="I113" t="s">
        <v>192</v>
      </c>
      <c r="J113" s="7" t="str">
        <f>TEXT(
  IFERROR(
    DATEVALUE(SUBSTITUTE(SUBSTITUTE(TRIM(I113),"T"," "),"Z","")),
    IFERROR(
      DATE(
        RIGHT(TRIM(I113),4),
        MID(TRIM(I113),4,2),
        LEFT(TRIM(I113),2)
      ),
      DATE(
        VALUE(RIGHT(TRIM(I113),4)),
        MATCH(LEFT(TRIM(I113),FIND(" ",TRIM(I113))-1),
          {"January","February","March","April","May","June","July","August","September","October","November","December"},0),
        VALUE(MID(TRIM(I113),
          FIND(" ",TRIM(I113))+1,
          FIND(" ",TRIM(I113),FIND(" ",TRIM(I113))+1)-FIND(" ",TRIM(I113))-1))
      )
    )
  ),
"yyyy-mm-dd")</f>
        <v>2023-01-04</v>
      </c>
      <c r="K113" s="5" t="str">
        <f t="shared" si="12"/>
        <v>Jan</v>
      </c>
      <c r="L113">
        <v>1682637955</v>
      </c>
      <c r="M113" s="11">
        <f t="shared" si="13"/>
        <v>45043.976331018523</v>
      </c>
      <c r="N113">
        <v>1418.53</v>
      </c>
      <c r="O113" s="7">
        <f t="shared" si="14"/>
        <v>1418.53</v>
      </c>
      <c r="P113" t="s">
        <v>58</v>
      </c>
      <c r="Q113" s="7" t="str">
        <f t="shared" si="15"/>
        <v>Student account</v>
      </c>
    </row>
    <row r="114" spans="1:17">
      <c r="A114">
        <v>1593</v>
      </c>
      <c r="B114" t="s">
        <v>195</v>
      </c>
      <c r="C114" s="9" t="str">
        <f t="shared" si="8"/>
        <v>Lucas Silva</v>
      </c>
      <c r="D114" s="7" t="str">
        <f t="shared" si="9"/>
        <v xml:space="preserve"> Lucas Silva </v>
      </c>
      <c r="F114" s="7">
        <f t="shared" si="10"/>
        <v>43</v>
      </c>
      <c r="G114" t="s">
        <v>48</v>
      </c>
      <c r="H114" s="7" t="str">
        <f t="shared" si="11"/>
        <v>France</v>
      </c>
      <c r="I114" t="s">
        <v>196</v>
      </c>
      <c r="J114" s="7" t="str">
        <f>TEXT(
  IFERROR(
    DATEVALUE(SUBSTITUTE(SUBSTITUTE(TRIM(I114),"T"," "),"Z","")),
    IFERROR(
      DATE(
        RIGHT(TRIM(I114),4),
        MID(TRIM(I114),4,2),
        LEFT(TRIM(I114),2)
      ),
      DATE(
        VALUE(RIGHT(TRIM(I114),4)),
        MATCH(LEFT(TRIM(I114),FIND(" ",TRIM(I114))-1),
          {"January","February","March","April","May","June","July","August","September","October","November","December"},0),
        VALUE(MID(TRIM(I114),
          FIND(" ",TRIM(I114))+1,
          FIND(" ",TRIM(I114),FIND(" ",TRIM(I114))+1)-FIND(" ",TRIM(I114))-1))
      )
    )
  ),
"yyyy-mm-dd")</f>
        <v>2023-03-08</v>
      </c>
      <c r="K114" s="5" t="str">
        <f t="shared" si="12"/>
        <v>Mar</v>
      </c>
      <c r="L114">
        <v>1690394498</v>
      </c>
      <c r="M114" s="11">
        <f t="shared" si="13"/>
        <v>45133.751134259262</v>
      </c>
      <c r="O114" s="7">
        <f t="shared" si="14"/>
        <v>0</v>
      </c>
      <c r="P114" t="s">
        <v>52</v>
      </c>
      <c r="Q114" s="7" t="str">
        <f t="shared" si="15"/>
        <v xml:space="preserve">Prefers email </v>
      </c>
    </row>
    <row r="115" spans="1:17">
      <c r="A115">
        <v>1814</v>
      </c>
      <c r="B115" t="s">
        <v>187</v>
      </c>
      <c r="C115" s="9" t="str">
        <f t="shared" si="8"/>
        <v>André Santos</v>
      </c>
      <c r="D115" s="7" t="str">
        <f t="shared" si="9"/>
        <v xml:space="preserve"> André Santos </v>
      </c>
      <c r="E115">
        <v>19</v>
      </c>
      <c r="F115" s="7">
        <f t="shared" si="10"/>
        <v>19</v>
      </c>
      <c r="G115" t="s">
        <v>25</v>
      </c>
      <c r="H115" s="7" t="str">
        <f t="shared" si="11"/>
        <v>Japan</v>
      </c>
      <c r="I115" t="s">
        <v>197</v>
      </c>
      <c r="J115" s="7" t="str">
        <f>TEXT(
  IFERROR(
    DATEVALUE(SUBSTITUTE(SUBSTITUTE(TRIM(I115),"T"," "),"Z","")),
    IFERROR(
      DATE(
        RIGHT(TRIM(I115),4),
        MID(TRIM(I115),4,2),
        LEFT(TRIM(I115),2)
      ),
      DATE(
        VALUE(RIGHT(TRIM(I115),4)),
        MATCH(LEFT(TRIM(I115),FIND(" ",TRIM(I115))-1),
          {"January","February","March","April","May","June","July","August","September","October","November","December"},0),
        VALUE(MID(TRIM(I115),
          FIND(" ",TRIM(I115))+1,
          FIND(" ",TRIM(I115),FIND(" ",TRIM(I115))+1)-FIND(" ",TRIM(I115))-1))
      )
    )
  ),
"yyyy-mm-dd")</f>
        <v>2023-10-22</v>
      </c>
      <c r="K115" s="5" t="str">
        <f t="shared" si="12"/>
        <v>Oct</v>
      </c>
      <c r="L115">
        <v>1691764100</v>
      </c>
      <c r="M115" s="11">
        <f t="shared" si="13"/>
        <v>45149.603009259255</v>
      </c>
      <c r="O115" s="7">
        <f t="shared" si="14"/>
        <v>0</v>
      </c>
      <c r="P115" t="s">
        <v>58</v>
      </c>
      <c r="Q115" s="7" t="str">
        <f t="shared" si="15"/>
        <v>Student account</v>
      </c>
    </row>
    <row r="116" spans="1:17">
      <c r="A116">
        <v>1236</v>
      </c>
      <c r="B116" t="s">
        <v>198</v>
      </c>
      <c r="C116" s="9" t="str">
        <f t="shared" si="8"/>
        <v>Noah Martin</v>
      </c>
      <c r="D116" s="7" t="str">
        <f t="shared" si="9"/>
        <v xml:space="preserve"> Noah Martin </v>
      </c>
      <c r="E116">
        <v>28</v>
      </c>
      <c r="F116" s="7">
        <f t="shared" si="10"/>
        <v>28</v>
      </c>
      <c r="G116" t="s">
        <v>111</v>
      </c>
      <c r="H116" s="7" t="str">
        <f t="shared" si="11"/>
        <v>South Korea</v>
      </c>
      <c r="I116" t="s">
        <v>199</v>
      </c>
      <c r="J116" s="7" t="str">
        <f>TEXT(
  IFERROR(
    DATEVALUE(SUBSTITUTE(SUBSTITUTE(TRIM(I116),"T"," "),"Z","")),
    IFERROR(
      DATE(
        RIGHT(TRIM(I116),4),
        MID(TRIM(I116),4,2),
        LEFT(TRIM(I116),2)
      ),
      DATE(
        VALUE(RIGHT(TRIM(I116),4)),
        MATCH(LEFT(TRIM(I116),FIND(" ",TRIM(I116))-1),
          {"January","February","March","April","May","June","July","August","September","October","November","December"},0),
        VALUE(MID(TRIM(I116),
          FIND(" ",TRIM(I116))+1,
          FIND(" ",TRIM(I116),FIND(" ",TRIM(I116))+1)-FIND(" ",TRIM(I116))-1))
      )
    )
  ),
"yyyy-mm-dd")</f>
        <v>2023-12-20</v>
      </c>
      <c r="K116" s="5" t="str">
        <f t="shared" si="12"/>
        <v>Dec</v>
      </c>
      <c r="L116">
        <v>1675481148</v>
      </c>
      <c r="M116" s="11">
        <f t="shared" si="13"/>
        <v>44961.142916666664</v>
      </c>
      <c r="N116">
        <v>660.7</v>
      </c>
      <c r="O116" s="7">
        <f t="shared" si="14"/>
        <v>660.7</v>
      </c>
      <c r="P116" t="s">
        <v>40</v>
      </c>
      <c r="Q116" s="7" t="str">
        <f t="shared" si="15"/>
        <v xml:space="preserve">VIP client </v>
      </c>
    </row>
    <row r="117" spans="1:17">
      <c r="A117">
        <v>2045</v>
      </c>
      <c r="B117" t="s">
        <v>104</v>
      </c>
      <c r="C117" s="9" t="str">
        <f t="shared" si="8"/>
        <v>David Brown</v>
      </c>
      <c r="D117" s="7" t="str">
        <f t="shared" si="9"/>
        <v>David Brown</v>
      </c>
      <c r="E117">
        <v>40</v>
      </c>
      <c r="F117" s="7">
        <f t="shared" si="10"/>
        <v>40</v>
      </c>
      <c r="G117" t="s">
        <v>18</v>
      </c>
      <c r="H117" s="7" t="str">
        <f t="shared" si="11"/>
        <v>United Kingdom</v>
      </c>
      <c r="I117" t="s">
        <v>200</v>
      </c>
      <c r="J117" s="7" t="str">
        <f>TEXT(
  IFERROR(
    DATEVALUE(SUBSTITUTE(SUBSTITUTE(TRIM(I117),"T"," "),"Z","")),
    IFERROR(
      DATE(
        RIGHT(TRIM(I117),4),
        MID(TRIM(I117),4,2),
        LEFT(TRIM(I117),2)
      ),
      DATE(
        VALUE(RIGHT(TRIM(I117),4)),
        MATCH(LEFT(TRIM(I117),FIND(" ",TRIM(I117))-1),
          {"January","February","March","April","May","June","July","August","September","October","November","December"},0),
        VALUE(MID(TRIM(I117),
          FIND(" ",TRIM(I117))+1,
          FIND(" ",TRIM(I117),FIND(" ",TRIM(I117))+1)-FIND(" ",TRIM(I117))-1))
      )
    )
  ),
"yyyy-mm-dd")</f>
        <v>2023-05-01</v>
      </c>
      <c r="K117" s="5" t="str">
        <f t="shared" si="12"/>
        <v>May</v>
      </c>
      <c r="L117">
        <v>1677437852</v>
      </c>
      <c r="M117" s="11">
        <f t="shared" si="13"/>
        <v>44983.789953703701</v>
      </c>
      <c r="N117">
        <v>391.39</v>
      </c>
      <c r="O117" s="7">
        <f t="shared" si="14"/>
        <v>391.39</v>
      </c>
      <c r="P117" t="s">
        <v>27</v>
      </c>
      <c r="Q117" s="7" t="str">
        <f t="shared" si="15"/>
        <v xml:space="preserve">Holiday signup </v>
      </c>
    </row>
    <row r="118" spans="1:17">
      <c r="A118">
        <v>1314</v>
      </c>
      <c r="B118" t="s">
        <v>82</v>
      </c>
      <c r="C118" s="9" t="str">
        <f t="shared" si="8"/>
        <v>Björn Larsson</v>
      </c>
      <c r="D118" s="7" t="str">
        <f t="shared" si="9"/>
        <v>Björn Larsson</v>
      </c>
      <c r="E118">
        <v>29</v>
      </c>
      <c r="F118" s="7">
        <f t="shared" si="10"/>
        <v>29</v>
      </c>
      <c r="G118" t="s">
        <v>60</v>
      </c>
      <c r="H118" s="7" t="str">
        <f t="shared" si="11"/>
        <v>Egypt</v>
      </c>
      <c r="I118" t="s">
        <v>201</v>
      </c>
      <c r="J118" s="7" t="str">
        <f>TEXT(
  IFERROR(
    DATEVALUE(SUBSTITUTE(SUBSTITUTE(TRIM(I118),"T"," "),"Z","")),
    IFERROR(
      DATE(
        RIGHT(TRIM(I118),4),
        MID(TRIM(I118),4,2),
        LEFT(TRIM(I118),2)
      ),
      DATE(
        VALUE(RIGHT(TRIM(I118),4)),
        MATCH(LEFT(TRIM(I118),FIND(" ",TRIM(I118))-1),
          {"January","February","March","April","May","June","July","August","September","October","November","December"},0),
        VALUE(MID(TRIM(I118),
          FIND(" ",TRIM(I118))+1,
          FIND(" ",TRIM(I118),FIND(" ",TRIM(I118))+1)-FIND(" ",TRIM(I118))-1))
      )
    )
  ),
"yyyy-mm-dd")</f>
        <v>2023-08-26</v>
      </c>
      <c r="K118" s="5" t="str">
        <f t="shared" si="12"/>
        <v>Aug</v>
      </c>
      <c r="L118">
        <v>1698021246</v>
      </c>
      <c r="M118" s="11">
        <f t="shared" si="13"/>
        <v>45222.023680555554</v>
      </c>
      <c r="O118" s="7">
        <f t="shared" si="14"/>
        <v>0</v>
      </c>
      <c r="P118" t="s">
        <v>84</v>
      </c>
      <c r="Q118" s="7" t="str">
        <f t="shared" si="15"/>
        <v xml:space="preserve">Newsletter subscriber </v>
      </c>
    </row>
    <row r="119" spans="1:17">
      <c r="A119">
        <v>1310</v>
      </c>
      <c r="B119" t="s">
        <v>64</v>
      </c>
      <c r="C119" s="9" t="str">
        <f t="shared" si="8"/>
        <v>Ethan Clark</v>
      </c>
      <c r="D119" s="7" t="str">
        <f t="shared" si="9"/>
        <v xml:space="preserve"> Ethan Clark </v>
      </c>
      <c r="F119" s="7">
        <f t="shared" si="10"/>
        <v>43</v>
      </c>
      <c r="G119" t="s">
        <v>54</v>
      </c>
      <c r="H119" s="7" t="str">
        <f t="shared" si="11"/>
        <v>Brazil</v>
      </c>
      <c r="I119" t="s">
        <v>202</v>
      </c>
      <c r="J119" s="7" t="str">
        <f>TEXT(
  IFERROR(
    DATEVALUE(SUBSTITUTE(SUBSTITUTE(TRIM(I119),"T"," "),"Z","")),
    IFERROR(
      DATE(
        RIGHT(TRIM(I119),4),
        MID(TRIM(I119),4,2),
        LEFT(TRIM(I119),2)
      ),
      DATE(
        VALUE(RIGHT(TRIM(I119),4)),
        MATCH(LEFT(TRIM(I119),FIND(" ",TRIM(I119))-1),
          {"January","February","March","April","May","June","July","August","September","October","November","December"},0),
        VALUE(MID(TRIM(I119),
          FIND(" ",TRIM(I119))+1,
          FIND(" ",TRIM(I119),FIND(" ",TRIM(I119))+1)-FIND(" ",TRIM(I119))-1))
      )
    )
  ),
"yyyy-mm-dd")</f>
        <v>2023-10-30</v>
      </c>
      <c r="K119" s="5" t="str">
        <f t="shared" si="12"/>
        <v>Oct</v>
      </c>
      <c r="L119">
        <v>1684333221</v>
      </c>
      <c r="M119" s="11">
        <f t="shared" si="13"/>
        <v>45063.59746527778</v>
      </c>
      <c r="O119" s="7">
        <f t="shared" si="14"/>
        <v>0</v>
      </c>
      <c r="P119" t="s">
        <v>36</v>
      </c>
      <c r="Q119" s="7" t="str">
        <f t="shared" si="15"/>
        <v>Regular shopper</v>
      </c>
    </row>
    <row r="120" spans="1:17">
      <c r="A120">
        <v>1926</v>
      </c>
      <c r="B120" t="s">
        <v>59</v>
      </c>
      <c r="C120" s="9" t="str">
        <f t="shared" si="8"/>
        <v>Maria Lopez</v>
      </c>
      <c r="D120" s="7" t="str">
        <f t="shared" si="9"/>
        <v xml:space="preserve"> Maria Lopez </v>
      </c>
      <c r="E120">
        <v>22</v>
      </c>
      <c r="F120" s="7">
        <f t="shared" si="10"/>
        <v>22</v>
      </c>
      <c r="G120" t="s">
        <v>29</v>
      </c>
      <c r="H120" s="7" t="str">
        <f t="shared" si="11"/>
        <v>United States</v>
      </c>
      <c r="I120" t="s">
        <v>203</v>
      </c>
      <c r="J120" s="7" t="str">
        <f>TEXT(
  IFERROR(
    DATEVALUE(SUBSTITUTE(SUBSTITUTE(TRIM(I120),"T"," "),"Z","")),
    IFERROR(
      DATE(
        RIGHT(TRIM(I120),4),
        MID(TRIM(I120),4,2),
        LEFT(TRIM(I120),2)
      ),
      DATE(
        VALUE(RIGHT(TRIM(I120),4)),
        MATCH(LEFT(TRIM(I120),FIND(" ",TRIM(I120))-1),
          {"January","February","March","April","May","June","July","August","September","October","November","December"},0),
        VALUE(MID(TRIM(I120),
          FIND(" ",TRIM(I120))+1,
          FIND(" ",TRIM(I120),FIND(" ",TRIM(I120))+1)-FIND(" ",TRIM(I120))-1))
      )
    )
  ),
"yyyy-mm-dd")</f>
        <v>2023-11-11</v>
      </c>
      <c r="K120" s="5" t="str">
        <f t="shared" si="12"/>
        <v>Nov</v>
      </c>
      <c r="L120">
        <v>1689538372</v>
      </c>
      <c r="M120" s="11">
        <f t="shared" si="13"/>
        <v>45123.842268518521</v>
      </c>
      <c r="N120">
        <v>582.88</v>
      </c>
      <c r="O120" s="7">
        <f t="shared" si="14"/>
        <v>582.88</v>
      </c>
      <c r="P120" t="s">
        <v>36</v>
      </c>
      <c r="Q120" s="7" t="str">
        <f t="shared" si="15"/>
        <v>Regular shopper</v>
      </c>
    </row>
    <row r="121" spans="1:17">
      <c r="A121">
        <v>2171</v>
      </c>
      <c r="B121" t="s">
        <v>114</v>
      </c>
      <c r="C121" s="9" t="str">
        <f t="shared" si="8"/>
        <v>Liam O’Connor</v>
      </c>
      <c r="D121" s="7" t="str">
        <f t="shared" si="9"/>
        <v xml:space="preserve"> Liam O’Connor </v>
      </c>
      <c r="E121">
        <v>48</v>
      </c>
      <c r="F121" s="7">
        <f t="shared" si="10"/>
        <v>48</v>
      </c>
      <c r="G121" t="s">
        <v>18</v>
      </c>
      <c r="H121" s="7" t="str">
        <f t="shared" si="11"/>
        <v>United Kingdom</v>
      </c>
      <c r="I121" t="s">
        <v>204</v>
      </c>
      <c r="J121" s="7" t="str">
        <f>TEXT(
  IFERROR(
    DATEVALUE(SUBSTITUTE(SUBSTITUTE(TRIM(I121),"T"," "),"Z","")),
    IFERROR(
      DATE(
        RIGHT(TRIM(I121),4),
        MID(TRIM(I121),4,2),
        LEFT(TRIM(I121),2)
      ),
      DATE(
        VALUE(RIGHT(TRIM(I121),4)),
        MATCH(LEFT(TRIM(I121),FIND(" ",TRIM(I121))-1),
          {"January","February","March","April","May","June","July","August","September","October","November","December"},0),
        VALUE(MID(TRIM(I121),
          FIND(" ",TRIM(I121))+1,
          FIND(" ",TRIM(I121),FIND(" ",TRIM(I121))+1)-FIND(" ",TRIM(I121))-1))
      )
    )
  ),
"yyyy-mm-dd")</f>
        <v>2023-02-01</v>
      </c>
      <c r="K121" s="5" t="str">
        <f t="shared" si="12"/>
        <v>Feb</v>
      </c>
      <c r="L121">
        <v>1675996946</v>
      </c>
      <c r="M121" s="11">
        <f t="shared" si="13"/>
        <v>44967.112800925926</v>
      </c>
      <c r="O121" s="7">
        <f t="shared" si="14"/>
        <v>0</v>
      </c>
      <c r="P121" t="s">
        <v>52</v>
      </c>
      <c r="Q121" s="7" t="str">
        <f t="shared" si="15"/>
        <v xml:space="preserve">Prefers email </v>
      </c>
    </row>
    <row r="122" spans="1:17">
      <c r="A122">
        <v>1794</v>
      </c>
      <c r="B122" t="s">
        <v>74</v>
      </c>
      <c r="C122" s="9" t="str">
        <f t="shared" si="8"/>
        <v>Sofia Rossi</v>
      </c>
      <c r="D122" s="7" t="str">
        <f t="shared" si="9"/>
        <v>Sofia Rossi</v>
      </c>
      <c r="E122">
        <v>61</v>
      </c>
      <c r="F122" s="7">
        <f t="shared" si="10"/>
        <v>61</v>
      </c>
      <c r="G122" t="s">
        <v>25</v>
      </c>
      <c r="H122" s="7" t="str">
        <f t="shared" si="11"/>
        <v>Japan</v>
      </c>
      <c r="I122" t="s">
        <v>205</v>
      </c>
      <c r="J122" s="7" t="str">
        <f>TEXT(
  IFERROR(
    DATEVALUE(SUBSTITUTE(SUBSTITUTE(TRIM(I122),"T"," "),"Z","")),
    IFERROR(
      DATE(
        RIGHT(TRIM(I122),4),
        MID(TRIM(I122),4,2),
        LEFT(TRIM(I122),2)
      ),
      DATE(
        VALUE(RIGHT(TRIM(I122),4)),
        MATCH(LEFT(TRIM(I122),FIND(" ",TRIM(I122))-1),
          {"January","February","March","April","May","June","July","August","September","October","November","December"},0),
        VALUE(MID(TRIM(I122),
          FIND(" ",TRIM(I122))+1,
          FIND(" ",TRIM(I122),FIND(" ",TRIM(I122))+1)-FIND(" ",TRIM(I122))-1))
      )
    )
  ),
"yyyy-mm-dd")</f>
        <v>2023-03-02</v>
      </c>
      <c r="K122" s="5" t="str">
        <f t="shared" si="12"/>
        <v>Mar</v>
      </c>
      <c r="L122">
        <v>1675695093</v>
      </c>
      <c r="M122" s="11">
        <f t="shared" si="13"/>
        <v>44963.619131944448</v>
      </c>
      <c r="O122" s="7">
        <f t="shared" si="14"/>
        <v>0</v>
      </c>
      <c r="P122" t="s">
        <v>58</v>
      </c>
      <c r="Q122" s="7" t="str">
        <f t="shared" si="15"/>
        <v>Student account</v>
      </c>
    </row>
    <row r="123" spans="1:17">
      <c r="A123">
        <v>1370</v>
      </c>
      <c r="B123" t="s">
        <v>104</v>
      </c>
      <c r="C123" s="9" t="str">
        <f t="shared" si="8"/>
        <v>David Brown</v>
      </c>
      <c r="D123" s="7" t="str">
        <f t="shared" si="9"/>
        <v>David Brown</v>
      </c>
      <c r="E123">
        <v>49</v>
      </c>
      <c r="F123" s="7">
        <f t="shared" si="10"/>
        <v>49</v>
      </c>
      <c r="G123" t="s">
        <v>18</v>
      </c>
      <c r="H123" s="7" t="str">
        <f t="shared" si="11"/>
        <v>United Kingdom</v>
      </c>
      <c r="I123" t="s">
        <v>206</v>
      </c>
      <c r="J123" s="7" t="str">
        <f>TEXT(
  IFERROR(
    DATEVALUE(SUBSTITUTE(SUBSTITUTE(TRIM(I123),"T"," "),"Z","")),
    IFERROR(
      DATE(
        RIGHT(TRIM(I123),4),
        MID(TRIM(I123),4,2),
        LEFT(TRIM(I123),2)
      ),
      DATE(
        VALUE(RIGHT(TRIM(I123),4)),
        MATCH(LEFT(TRIM(I123),FIND(" ",TRIM(I123))-1),
          {"January","February","March","April","May","June","July","August","September","October","November","December"},0),
        VALUE(MID(TRIM(I123),
          FIND(" ",TRIM(I123))+1,
          FIND(" ",TRIM(I123),FIND(" ",TRIM(I123))+1)-FIND(" ",TRIM(I123))-1))
      )
    )
  ),
"yyyy-mm-dd")</f>
        <v>2023-03-21</v>
      </c>
      <c r="K123" s="5" t="str">
        <f t="shared" si="12"/>
        <v>Mar</v>
      </c>
      <c r="L123">
        <v>1682449135</v>
      </c>
      <c r="M123" s="11">
        <f t="shared" si="13"/>
        <v>45041.790914351848</v>
      </c>
      <c r="N123">
        <v>1268.2</v>
      </c>
      <c r="O123" s="7">
        <f t="shared" si="14"/>
        <v>1268.2</v>
      </c>
      <c r="P123" t="s">
        <v>46</v>
      </c>
      <c r="Q123" s="7" t="str">
        <f t="shared" si="15"/>
        <v>Corporate account</v>
      </c>
    </row>
    <row r="124" spans="1:17">
      <c r="A124">
        <v>2106</v>
      </c>
      <c r="B124" t="s">
        <v>88</v>
      </c>
      <c r="C124" s="9" t="str">
        <f t="shared" si="8"/>
        <v>André Santos</v>
      </c>
      <c r="D124" s="7" t="str">
        <f t="shared" si="9"/>
        <v>André Santos</v>
      </c>
      <c r="F124" s="7">
        <f t="shared" si="10"/>
        <v>43</v>
      </c>
      <c r="G124" t="s">
        <v>18</v>
      </c>
      <c r="H124" s="7" t="str">
        <f t="shared" si="11"/>
        <v>United Kingdom</v>
      </c>
      <c r="I124" t="s">
        <v>207</v>
      </c>
      <c r="J124" s="7" t="str">
        <f>TEXT(
  IFERROR(
    DATEVALUE(SUBSTITUTE(SUBSTITUTE(TRIM(I124),"T"," "),"Z","")),
    IFERROR(
      DATE(
        RIGHT(TRIM(I124),4),
        MID(TRIM(I124),4,2),
        LEFT(TRIM(I124),2)
      ),
      DATE(
        VALUE(RIGHT(TRIM(I124),4)),
        MATCH(LEFT(TRIM(I124),FIND(" ",TRIM(I124))-1),
          {"January","February","March","April","May","June","July","August","September","October","November","December"},0),
        VALUE(MID(TRIM(I124),
          FIND(" ",TRIM(I124))+1,
          FIND(" ",TRIM(I124),FIND(" ",TRIM(I124))+1)-FIND(" ",TRIM(I124))-1))
      )
    )
  ),
"yyyy-mm-dd")</f>
        <v>2023-11-02</v>
      </c>
      <c r="K124" s="5" t="str">
        <f t="shared" si="12"/>
        <v>Nov</v>
      </c>
      <c r="L124">
        <v>1677699863</v>
      </c>
      <c r="M124" s="11">
        <f t="shared" si="13"/>
        <v>44986.822488425925</v>
      </c>
      <c r="N124">
        <v>251.75</v>
      </c>
      <c r="O124" s="7">
        <f t="shared" si="14"/>
        <v>251.75</v>
      </c>
      <c r="P124" t="s">
        <v>36</v>
      </c>
      <c r="Q124" s="7" t="str">
        <f t="shared" si="15"/>
        <v>Regular shopper</v>
      </c>
    </row>
    <row r="125" spans="1:17">
      <c r="A125">
        <v>1090</v>
      </c>
      <c r="B125" t="s">
        <v>74</v>
      </c>
      <c r="C125" s="9" t="str">
        <f t="shared" si="8"/>
        <v>Sofia Rossi</v>
      </c>
      <c r="D125" s="7" t="str">
        <f t="shared" si="9"/>
        <v>Sofia Rossi</v>
      </c>
      <c r="F125" s="7">
        <f t="shared" si="10"/>
        <v>43</v>
      </c>
      <c r="G125" t="s">
        <v>102</v>
      </c>
      <c r="H125" s="7" t="str">
        <f t="shared" si="11"/>
        <v>Mexico</v>
      </c>
      <c r="I125" t="s">
        <v>208</v>
      </c>
      <c r="J125" s="7" t="str">
        <f>TEXT(
  IFERROR(
    DATEVALUE(SUBSTITUTE(SUBSTITUTE(TRIM(I125),"T"," "),"Z","")),
    IFERROR(
      DATE(
        RIGHT(TRIM(I125),4),
        MID(TRIM(I125),4,2),
        LEFT(TRIM(I125),2)
      ),
      DATE(
        VALUE(RIGHT(TRIM(I125),4)),
        MATCH(LEFT(TRIM(I125),FIND(" ",TRIM(I125))-1),
          {"January","February","March","April","May","June","July","August","September","October","November","December"},0),
        VALUE(MID(TRIM(I125),
          FIND(" ",TRIM(I125))+1,
          FIND(" ",TRIM(I125),FIND(" ",TRIM(I125))+1)-FIND(" ",TRIM(I125))-1))
      )
    )
  ),
"yyyy-mm-dd")</f>
        <v>2023-08-18</v>
      </c>
      <c r="K125" s="5" t="str">
        <f t="shared" si="12"/>
        <v>Aug</v>
      </c>
      <c r="L125">
        <v>1690442440</v>
      </c>
      <c r="M125" s="11">
        <f t="shared" si="13"/>
        <v>45134.306018518517</v>
      </c>
      <c r="O125" s="7">
        <f t="shared" si="14"/>
        <v>0</v>
      </c>
      <c r="P125" t="s">
        <v>40</v>
      </c>
      <c r="Q125" s="7" t="str">
        <f t="shared" si="15"/>
        <v xml:space="preserve">VIP client </v>
      </c>
    </row>
    <row r="126" spans="1:17">
      <c r="A126">
        <v>1754</v>
      </c>
      <c r="B126" t="s">
        <v>101</v>
      </c>
      <c r="C126" s="9" t="str">
        <f t="shared" si="8"/>
        <v>Zoë Kravitz</v>
      </c>
      <c r="D126" s="7" t="str">
        <f t="shared" si="9"/>
        <v>Zoë Kravitz</v>
      </c>
      <c r="F126" s="7">
        <f t="shared" si="10"/>
        <v>43</v>
      </c>
      <c r="G126" t="s">
        <v>116</v>
      </c>
      <c r="H126" s="7" t="str">
        <f t="shared" si="11"/>
        <v>China</v>
      </c>
      <c r="I126" t="s">
        <v>77</v>
      </c>
      <c r="J126" s="7" t="str">
        <f>TEXT(
  IFERROR(
    DATEVALUE(SUBSTITUTE(SUBSTITUTE(TRIM(I126),"T"," "),"Z","")),
    IFERROR(
      DATE(
        RIGHT(TRIM(I126),4),
        MID(TRIM(I126),4,2),
        LEFT(TRIM(I126),2)
      ),
      DATE(
        VALUE(RIGHT(TRIM(I126),4)),
        MATCH(LEFT(TRIM(I126),FIND(" ",TRIM(I126))-1),
          {"January","February","March","April","May","June","July","August","September","October","November","December"},0),
        VALUE(MID(TRIM(I126),
          FIND(" ",TRIM(I126))+1,
          FIND(" ",TRIM(I126),FIND(" ",TRIM(I126))+1)-FIND(" ",TRIM(I126))-1))
      )
    )
  ),
"yyyy-mm-dd")</f>
        <v>2023-09-15</v>
      </c>
      <c r="K126" s="5" t="str">
        <f t="shared" si="12"/>
        <v>Sep</v>
      </c>
      <c r="L126">
        <v>1686571926</v>
      </c>
      <c r="M126" s="11">
        <f t="shared" si="13"/>
        <v>45089.508402777778</v>
      </c>
      <c r="N126">
        <v>1449.74</v>
      </c>
      <c r="O126" s="7">
        <f t="shared" si="14"/>
        <v>1449.74</v>
      </c>
      <c r="P126" t="s">
        <v>27</v>
      </c>
      <c r="Q126" s="7" t="str">
        <f t="shared" si="15"/>
        <v xml:space="preserve">Holiday signup </v>
      </c>
    </row>
    <row r="127" spans="1:17">
      <c r="A127">
        <v>1284</v>
      </c>
      <c r="B127" t="s">
        <v>85</v>
      </c>
      <c r="C127" s="9" t="str">
        <f t="shared" si="8"/>
        <v>Akira Tanaka</v>
      </c>
      <c r="D127" s="7" t="str">
        <f t="shared" si="9"/>
        <v xml:space="preserve"> Akira Tanaka </v>
      </c>
      <c r="E127">
        <v>41</v>
      </c>
      <c r="F127" s="7">
        <f t="shared" si="10"/>
        <v>41</v>
      </c>
      <c r="G127" t="s">
        <v>18</v>
      </c>
      <c r="H127" s="7" t="str">
        <f t="shared" si="11"/>
        <v>United Kingdom</v>
      </c>
      <c r="I127" t="s">
        <v>209</v>
      </c>
      <c r="J127" s="7" t="str">
        <f>TEXT(
  IFERROR(
    DATEVALUE(SUBSTITUTE(SUBSTITUTE(TRIM(I127),"T"," "),"Z","")),
    IFERROR(
      DATE(
        RIGHT(TRIM(I127),4),
        MID(TRIM(I127),4,2),
        LEFT(TRIM(I127),2)
      ),
      DATE(
        VALUE(RIGHT(TRIM(I127),4)),
        MATCH(LEFT(TRIM(I127),FIND(" ",TRIM(I127))-1),
          {"January","February","March","April","May","June","July","August","September","October","November","December"},0),
        VALUE(MID(TRIM(I127),
          FIND(" ",TRIM(I127))+1,
          FIND(" ",TRIM(I127),FIND(" ",TRIM(I127))+1)-FIND(" ",TRIM(I127))-1))
      )
    )
  ),
"yyyy-mm-dd")</f>
        <v>2023-12-31</v>
      </c>
      <c r="K127" s="5" t="str">
        <f t="shared" si="12"/>
        <v>Dec</v>
      </c>
      <c r="L127">
        <v>1701084393</v>
      </c>
      <c r="M127" s="11">
        <f t="shared" si="13"/>
        <v>45257.476770833338</v>
      </c>
      <c r="N127">
        <v>195.77</v>
      </c>
      <c r="O127" s="7">
        <f t="shared" si="14"/>
        <v>195.77</v>
      </c>
      <c r="P127" t="s">
        <v>33</v>
      </c>
      <c r="Q127" s="7" t="str">
        <f t="shared" si="15"/>
        <v>Frequent buyer n</v>
      </c>
    </row>
    <row r="128" spans="1:17">
      <c r="A128">
        <v>1559</v>
      </c>
      <c r="B128" t="s">
        <v>210</v>
      </c>
      <c r="C128" s="9" t="str">
        <f t="shared" si="8"/>
        <v>Ethan Clark</v>
      </c>
      <c r="D128" s="7" t="str">
        <f t="shared" si="9"/>
        <v>Ethan Clark</v>
      </c>
      <c r="E128">
        <v>27</v>
      </c>
      <c r="F128" s="7">
        <f t="shared" si="10"/>
        <v>27</v>
      </c>
      <c r="G128" t="s">
        <v>38</v>
      </c>
      <c r="H128" s="7" t="str">
        <f t="shared" si="11"/>
        <v>Spain</v>
      </c>
      <c r="I128" t="s">
        <v>113</v>
      </c>
      <c r="J128" s="7" t="str">
        <f>TEXT(
  IFERROR(
    DATEVALUE(SUBSTITUTE(SUBSTITUTE(TRIM(I128),"T"," "),"Z","")),
    IFERROR(
      DATE(
        RIGHT(TRIM(I128),4),
        MID(TRIM(I128),4,2),
        LEFT(TRIM(I128),2)
      ),
      DATE(
        VALUE(RIGHT(TRIM(I128),4)),
        MATCH(LEFT(TRIM(I128),FIND(" ",TRIM(I128))-1),
          {"January","February","March","April","May","June","July","August","September","October","November","December"},0),
        VALUE(MID(TRIM(I128),
          FIND(" ",TRIM(I128))+1,
          FIND(" ",TRIM(I128),FIND(" ",TRIM(I128))+1)-FIND(" ",TRIM(I128))-1))
      )
    )
  ),
"yyyy-mm-dd")</f>
        <v>2023-08-19</v>
      </c>
      <c r="K128" s="5" t="str">
        <f t="shared" si="12"/>
        <v>Aug</v>
      </c>
      <c r="L128">
        <v>1703745457</v>
      </c>
      <c r="M128" s="11">
        <f t="shared" si="13"/>
        <v>45288.276122685187</v>
      </c>
      <c r="N128">
        <v>49.74</v>
      </c>
      <c r="O128" s="7">
        <f t="shared" si="14"/>
        <v>49.74</v>
      </c>
      <c r="P128" t="s">
        <v>118</v>
      </c>
      <c r="Q128" s="7" t="str">
        <f t="shared" si="15"/>
        <v>High engagement</v>
      </c>
    </row>
    <row r="129" spans="1:17">
      <c r="A129">
        <v>2029</v>
      </c>
      <c r="B129" t="s">
        <v>34</v>
      </c>
      <c r="C129" s="9" t="str">
        <f t="shared" si="8"/>
        <v>Olivia Wilson</v>
      </c>
      <c r="D129" s="7" t="str">
        <f t="shared" si="9"/>
        <v xml:space="preserve"> Olivia Wilson </v>
      </c>
      <c r="E129">
        <v>23</v>
      </c>
      <c r="F129" s="7">
        <f t="shared" si="10"/>
        <v>23</v>
      </c>
      <c r="G129" t="s">
        <v>29</v>
      </c>
      <c r="H129" s="7" t="str">
        <f t="shared" si="11"/>
        <v>United States</v>
      </c>
      <c r="I129" t="s">
        <v>211</v>
      </c>
      <c r="J129" s="7" t="str">
        <f>TEXT(
  IFERROR(
    DATEVALUE(SUBSTITUTE(SUBSTITUTE(TRIM(I129),"T"," "),"Z","")),
    IFERROR(
      DATE(
        RIGHT(TRIM(I129),4),
        MID(TRIM(I129),4,2),
        LEFT(TRIM(I129),2)
      ),
      DATE(
        VALUE(RIGHT(TRIM(I129),4)),
        MATCH(LEFT(TRIM(I129),FIND(" ",TRIM(I129))-1),
          {"January","February","March","April","May","June","July","August","September","October","November","December"},0),
        VALUE(MID(TRIM(I129),
          FIND(" ",TRIM(I129))+1,
          FIND(" ",TRIM(I129),FIND(" ",TRIM(I129))+1)-FIND(" ",TRIM(I129))-1))
      )
    )
  ),
"yyyy-mm-dd")</f>
        <v>2023-06-13</v>
      </c>
      <c r="K129" s="5" t="str">
        <f t="shared" si="12"/>
        <v>Jun</v>
      </c>
      <c r="L129">
        <v>1700682083</v>
      </c>
      <c r="M129" s="11">
        <f t="shared" si="13"/>
        <v>45252.820405092592</v>
      </c>
      <c r="O129" s="7">
        <f t="shared" si="14"/>
        <v>0</v>
      </c>
      <c r="P129" t="s">
        <v>33</v>
      </c>
      <c r="Q129" s="7" t="str">
        <f t="shared" si="15"/>
        <v>Frequent buyer n</v>
      </c>
    </row>
    <row r="130" spans="1:17">
      <c r="A130">
        <v>1282</v>
      </c>
      <c r="B130" t="s">
        <v>59</v>
      </c>
      <c r="C130" s="9" t="str">
        <f t="shared" si="8"/>
        <v>Maria Lopez</v>
      </c>
      <c r="D130" s="7" t="str">
        <f t="shared" si="9"/>
        <v xml:space="preserve"> Maria Lopez </v>
      </c>
      <c r="E130">
        <v>48</v>
      </c>
      <c r="F130" s="7">
        <f t="shared" si="10"/>
        <v>48</v>
      </c>
      <c r="G130" t="s">
        <v>60</v>
      </c>
      <c r="H130" s="7" t="str">
        <f t="shared" si="11"/>
        <v>Egypt</v>
      </c>
      <c r="I130" t="s">
        <v>212</v>
      </c>
      <c r="J130" s="7" t="str">
        <f>TEXT(
  IFERROR(
    DATEVALUE(SUBSTITUTE(SUBSTITUTE(TRIM(I130),"T"," "),"Z","")),
    IFERROR(
      DATE(
        RIGHT(TRIM(I130),4),
        MID(TRIM(I130),4,2),
        LEFT(TRIM(I130),2)
      ),
      DATE(
        VALUE(RIGHT(TRIM(I130),4)),
        MATCH(LEFT(TRIM(I130),FIND(" ",TRIM(I130))-1),
          {"January","February","March","April","May","June","July","August","September","October","November","December"},0),
        VALUE(MID(TRIM(I130),
          FIND(" ",TRIM(I130))+1,
          FIND(" ",TRIM(I130),FIND(" ",TRIM(I130))+1)-FIND(" ",TRIM(I130))-1))
      )
    )
  ),
"yyyy-mm-dd")</f>
        <v>2023-08-18</v>
      </c>
      <c r="K130" s="5" t="str">
        <f t="shared" si="12"/>
        <v>Aug</v>
      </c>
      <c r="L130">
        <v>1672700200</v>
      </c>
      <c r="M130" s="11">
        <f t="shared" si="13"/>
        <v>44928.956018518518</v>
      </c>
      <c r="N130">
        <v>1359.73</v>
      </c>
      <c r="O130" s="7">
        <f t="shared" si="14"/>
        <v>1359.73</v>
      </c>
      <c r="P130" t="s">
        <v>58</v>
      </c>
      <c r="Q130" s="7" t="str">
        <f t="shared" si="15"/>
        <v>Student account</v>
      </c>
    </row>
    <row r="131" spans="1:17">
      <c r="A131">
        <v>1442</v>
      </c>
      <c r="B131" t="s">
        <v>56</v>
      </c>
      <c r="C131" s="9" t="str">
        <f t="shared" ref="C131:C194" si="16">TRIM(B131)</f>
        <v>Carlos García</v>
      </c>
      <c r="D131" s="7" t="str">
        <f t="shared" ref="D131:D194" si="17">PROPER(B131)</f>
        <v>Carlos García</v>
      </c>
      <c r="E131">
        <v>56</v>
      </c>
      <c r="F131" s="7">
        <f t="shared" ref="F131:F194" si="18">IF(OR(E131="", ISBLANK(E131)), MEDIAN($E$2:$E$1501), E131)</f>
        <v>56</v>
      </c>
      <c r="G131" t="s">
        <v>44</v>
      </c>
      <c r="H131" s="7" t="str">
        <f t="shared" ref="H131:H194" si="19">TRIM(G131)</f>
        <v>UAE</v>
      </c>
      <c r="I131" t="s">
        <v>213</v>
      </c>
      <c r="J131" s="7" t="str">
        <f>TEXT(
  IFERROR(
    DATEVALUE(SUBSTITUTE(SUBSTITUTE(TRIM(I131),"T"," "),"Z","")),
    IFERROR(
      DATE(
        RIGHT(TRIM(I131),4),
        MID(TRIM(I131),4,2),
        LEFT(TRIM(I131),2)
      ),
      DATE(
        VALUE(RIGHT(TRIM(I131),4)),
        MATCH(LEFT(TRIM(I131),FIND(" ",TRIM(I131))-1),
          {"January","February","March","April","May","June","July","August","September","October","November","December"},0),
        VALUE(MID(TRIM(I131),
          FIND(" ",TRIM(I131))+1,
          FIND(" ",TRIM(I131),FIND(" ",TRIM(I131))+1)-FIND(" ",TRIM(I131))-1))
      )
    )
  ),
"yyyy-mm-dd")</f>
        <v>2023-02-26</v>
      </c>
      <c r="K131" s="5" t="str">
        <f t="shared" ref="K131:K194" si="20">TEXT(J131,"mmm")</f>
        <v>Feb</v>
      </c>
      <c r="L131">
        <v>1680497882</v>
      </c>
      <c r="M131" s="11">
        <f t="shared" ref="M131:M194" si="21">((L131)/86400)+DATE(1970,1,1)</f>
        <v>45019.206967592589</v>
      </c>
      <c r="N131">
        <v>458.72</v>
      </c>
      <c r="O131" s="7">
        <f t="shared" ref="O131:O194" si="22">IF(N131="", 0, N131)</f>
        <v>458.72</v>
      </c>
      <c r="P131" t="s">
        <v>40</v>
      </c>
      <c r="Q131" s="7" t="str">
        <f t="shared" ref="Q131:Q194" si="23">SUBSTITUTE(SUBSTITUTE(SUBSTITUTE(P131,"$",""),"%",""),"ñ","n")</f>
        <v xml:space="preserve">VIP client </v>
      </c>
    </row>
    <row r="132" spans="1:17">
      <c r="A132">
        <v>1860</v>
      </c>
      <c r="B132" t="s">
        <v>185</v>
      </c>
      <c r="C132" s="9" t="str">
        <f t="shared" si="16"/>
        <v>Liam O’Connor</v>
      </c>
      <c r="D132" s="7" t="str">
        <f t="shared" si="17"/>
        <v>Liam O’Connor</v>
      </c>
      <c r="E132">
        <v>47</v>
      </c>
      <c r="F132" s="7">
        <f t="shared" si="18"/>
        <v>47</v>
      </c>
      <c r="G132" t="s">
        <v>60</v>
      </c>
      <c r="H132" s="7" t="str">
        <f t="shared" si="19"/>
        <v>Egypt</v>
      </c>
      <c r="I132" t="s">
        <v>184</v>
      </c>
      <c r="J132" s="7" t="str">
        <f>TEXT(
  IFERROR(
    DATEVALUE(SUBSTITUTE(SUBSTITUTE(TRIM(I132),"T"," "),"Z","")),
    IFERROR(
      DATE(
        RIGHT(TRIM(I132),4),
        MID(TRIM(I132),4,2),
        LEFT(TRIM(I132),2)
      ),
      DATE(
        VALUE(RIGHT(TRIM(I132),4)),
        MATCH(LEFT(TRIM(I132),FIND(" ",TRIM(I132))-1),
          {"January","February","March","April","May","June","July","August","September","October","November","December"},0),
        VALUE(MID(TRIM(I132),
          FIND(" ",TRIM(I132))+1,
          FIND(" ",TRIM(I132),FIND(" ",TRIM(I132))+1)-FIND(" ",TRIM(I132))-1))
      )
    )
  ),
"yyyy-mm-dd")</f>
        <v>2023-11-02</v>
      </c>
      <c r="K132" s="5" t="str">
        <f t="shared" si="20"/>
        <v>Nov</v>
      </c>
      <c r="L132">
        <v>1673075478</v>
      </c>
      <c r="M132" s="11">
        <f t="shared" si="21"/>
        <v>44933.299513888887</v>
      </c>
      <c r="N132">
        <v>951.61</v>
      </c>
      <c r="O132" s="7">
        <f t="shared" si="22"/>
        <v>951.61</v>
      </c>
      <c r="P132" t="s">
        <v>33</v>
      </c>
      <c r="Q132" s="7" t="str">
        <f t="shared" si="23"/>
        <v>Frequent buyer n</v>
      </c>
    </row>
    <row r="133" spans="1:17">
      <c r="A133">
        <v>1597</v>
      </c>
      <c r="B133" t="s">
        <v>53</v>
      </c>
      <c r="C133" s="9" t="str">
        <f t="shared" si="16"/>
        <v>Sofia Rossi</v>
      </c>
      <c r="D133" s="7" t="str">
        <f t="shared" si="17"/>
        <v xml:space="preserve"> Sofia Rossi </v>
      </c>
      <c r="E133">
        <v>33</v>
      </c>
      <c r="F133" s="7">
        <f t="shared" si="18"/>
        <v>33</v>
      </c>
      <c r="G133" t="s">
        <v>44</v>
      </c>
      <c r="H133" s="7" t="str">
        <f t="shared" si="19"/>
        <v>UAE</v>
      </c>
      <c r="I133" t="s">
        <v>214</v>
      </c>
      <c r="J133" s="7" t="str">
        <f>TEXT(
  IFERROR(
    DATEVALUE(SUBSTITUTE(SUBSTITUTE(TRIM(I133),"T"," "),"Z","")),
    IFERROR(
      DATE(
        RIGHT(TRIM(I133),4),
        MID(TRIM(I133),4,2),
        LEFT(TRIM(I133),2)
      ),
      DATE(
        VALUE(RIGHT(TRIM(I133),4)),
        MATCH(LEFT(TRIM(I133),FIND(" ",TRIM(I133))-1),
          {"January","February","March","April","May","June","July","August","September","October","November","December"},0),
        VALUE(MID(TRIM(I133),
          FIND(" ",TRIM(I133))+1,
          FIND(" ",TRIM(I133),FIND(" ",TRIM(I133))+1)-FIND(" ",TRIM(I133))-1))
      )
    )
  ),
"yyyy-mm-dd")</f>
        <v>2023-04-06</v>
      </c>
      <c r="K133" s="5" t="str">
        <f t="shared" si="20"/>
        <v>Apr</v>
      </c>
      <c r="L133">
        <v>1690089226</v>
      </c>
      <c r="M133" s="11">
        <f t="shared" si="21"/>
        <v>45130.217893518522</v>
      </c>
      <c r="N133">
        <v>1462.24</v>
      </c>
      <c r="O133" s="7">
        <f t="shared" si="22"/>
        <v>1462.24</v>
      </c>
      <c r="P133" t="s">
        <v>46</v>
      </c>
      <c r="Q133" s="7" t="str">
        <f t="shared" si="23"/>
        <v>Corporate account</v>
      </c>
    </row>
    <row r="134" spans="1:17">
      <c r="A134">
        <v>2115</v>
      </c>
      <c r="B134" t="s">
        <v>80</v>
      </c>
      <c r="C134" s="9" t="str">
        <f t="shared" si="16"/>
        <v>Ahmed Hassan</v>
      </c>
      <c r="D134" s="7" t="str">
        <f t="shared" si="17"/>
        <v>Ahmed Hassan</v>
      </c>
      <c r="E134">
        <v>50</v>
      </c>
      <c r="F134" s="7">
        <f t="shared" si="18"/>
        <v>50</v>
      </c>
      <c r="G134" t="s">
        <v>116</v>
      </c>
      <c r="H134" s="7" t="str">
        <f t="shared" si="19"/>
        <v>China</v>
      </c>
      <c r="I134" t="s">
        <v>215</v>
      </c>
      <c r="J134" s="7" t="str">
        <f>TEXT(
  IFERROR(
    DATEVALUE(SUBSTITUTE(SUBSTITUTE(TRIM(I134),"T"," "),"Z","")),
    IFERROR(
      DATE(
        RIGHT(TRIM(I134),4),
        MID(TRIM(I134),4,2),
        LEFT(TRIM(I134),2)
      ),
      DATE(
        VALUE(RIGHT(TRIM(I134),4)),
        MATCH(LEFT(TRIM(I134),FIND(" ",TRIM(I134))-1),
          {"January","February","March","April","May","June","July","August","September","October","November","December"},0),
        VALUE(MID(TRIM(I134),
          FIND(" ",TRIM(I134))+1,
          FIND(" ",TRIM(I134),FIND(" ",TRIM(I134))+1)-FIND(" ",TRIM(I134))-1))
      )
    )
  ),
"yyyy-mm-dd")</f>
        <v>2023-08-29</v>
      </c>
      <c r="K134" s="5" t="str">
        <f t="shared" si="20"/>
        <v>Aug</v>
      </c>
      <c r="L134">
        <v>1693853572</v>
      </c>
      <c r="M134" s="11">
        <f t="shared" si="21"/>
        <v>45173.786712962959</v>
      </c>
      <c r="O134" s="7">
        <f t="shared" si="22"/>
        <v>0</v>
      </c>
      <c r="P134" t="s">
        <v>58</v>
      </c>
      <c r="Q134" s="7" t="str">
        <f t="shared" si="23"/>
        <v>Student account</v>
      </c>
    </row>
    <row r="135" spans="1:17">
      <c r="A135">
        <v>1034</v>
      </c>
      <c r="B135" t="s">
        <v>90</v>
      </c>
      <c r="C135" s="9" t="str">
        <f t="shared" si="16"/>
        <v>Olivia Wilson</v>
      </c>
      <c r="D135" s="7" t="str">
        <f t="shared" si="17"/>
        <v>Olivia Wilson</v>
      </c>
      <c r="E135">
        <v>33</v>
      </c>
      <c r="F135" s="7">
        <f t="shared" si="18"/>
        <v>33</v>
      </c>
      <c r="G135" t="s">
        <v>18</v>
      </c>
      <c r="H135" s="7" t="str">
        <f t="shared" si="19"/>
        <v>United Kingdom</v>
      </c>
      <c r="I135" t="s">
        <v>216</v>
      </c>
      <c r="J135" s="7" t="str">
        <f>TEXT(
  IFERROR(
    DATEVALUE(SUBSTITUTE(SUBSTITUTE(TRIM(I135),"T"," "),"Z","")),
    IFERROR(
      DATE(
        RIGHT(TRIM(I135),4),
        MID(TRIM(I135),4,2),
        LEFT(TRIM(I135),2)
      ),
      DATE(
        VALUE(RIGHT(TRIM(I135),4)),
        MATCH(LEFT(TRIM(I135),FIND(" ",TRIM(I135))-1),
          {"January","February","March","April","May","June","July","August","September","October","November","December"},0),
        VALUE(MID(TRIM(I135),
          FIND(" ",TRIM(I135))+1,
          FIND(" ",TRIM(I135),FIND(" ",TRIM(I135))+1)-FIND(" ",TRIM(I135))-1))
      )
    )
  ),
"yyyy-mm-dd")</f>
        <v>2023-10-25</v>
      </c>
      <c r="K135" s="5" t="str">
        <f t="shared" si="20"/>
        <v>Oct</v>
      </c>
      <c r="L135">
        <v>1677000483</v>
      </c>
      <c r="M135" s="11">
        <f t="shared" si="21"/>
        <v>44978.727812500001</v>
      </c>
      <c r="O135" s="7">
        <f t="shared" si="22"/>
        <v>0</v>
      </c>
      <c r="P135" t="s">
        <v>33</v>
      </c>
      <c r="Q135" s="7" t="str">
        <f t="shared" si="23"/>
        <v>Frequent buyer n</v>
      </c>
    </row>
    <row r="136" spans="1:17">
      <c r="A136">
        <v>1952</v>
      </c>
      <c r="B136" t="s">
        <v>24</v>
      </c>
      <c r="C136" s="9" t="str">
        <f t="shared" si="16"/>
        <v>Renée Dupont</v>
      </c>
      <c r="D136" s="7" t="str">
        <f t="shared" si="17"/>
        <v>Renée Dupont</v>
      </c>
      <c r="E136">
        <v>29</v>
      </c>
      <c r="F136" s="7">
        <f t="shared" si="18"/>
        <v>29</v>
      </c>
      <c r="G136" t="s">
        <v>111</v>
      </c>
      <c r="H136" s="7" t="str">
        <f t="shared" si="19"/>
        <v>South Korea</v>
      </c>
      <c r="I136" t="s">
        <v>217</v>
      </c>
      <c r="J136" s="7" t="str">
        <f>TEXT(
  IFERROR(
    DATEVALUE(SUBSTITUTE(SUBSTITUTE(TRIM(I136),"T"," "),"Z","")),
    IFERROR(
      DATE(
        RIGHT(TRIM(I136),4),
        MID(TRIM(I136),4,2),
        LEFT(TRIM(I136),2)
      ),
      DATE(
        VALUE(RIGHT(TRIM(I136),4)),
        MATCH(LEFT(TRIM(I136),FIND(" ",TRIM(I136))-1),
          {"January","February","March","April","May","June","July","August","September","October","November","December"},0),
        VALUE(MID(TRIM(I136),
          FIND(" ",TRIM(I136))+1,
          FIND(" ",TRIM(I136),FIND(" ",TRIM(I136))+1)-FIND(" ",TRIM(I136))-1))
      )
    )
  ),
"yyyy-mm-dd")</f>
        <v>2023-01-19</v>
      </c>
      <c r="K136" s="5" t="str">
        <f t="shared" si="20"/>
        <v>Jan</v>
      </c>
      <c r="L136">
        <v>1679288271</v>
      </c>
      <c r="M136" s="11">
        <f t="shared" si="21"/>
        <v>45005.20684027778</v>
      </c>
      <c r="N136">
        <v>75.27</v>
      </c>
      <c r="O136" s="7">
        <f t="shared" si="22"/>
        <v>75.27</v>
      </c>
      <c r="P136" t="s">
        <v>20</v>
      </c>
      <c r="Q136" s="7" t="str">
        <f t="shared" si="23"/>
        <v xml:space="preserve">Great customer </v>
      </c>
    </row>
    <row r="137" spans="1:17">
      <c r="A137">
        <v>1647</v>
      </c>
      <c r="B137" t="s">
        <v>107</v>
      </c>
      <c r="C137" s="9" t="str">
        <f t="shared" si="16"/>
        <v>Fatima Ali</v>
      </c>
      <c r="D137" s="7" t="str">
        <f t="shared" si="17"/>
        <v>Fatima Ali</v>
      </c>
      <c r="F137" s="7">
        <f t="shared" si="18"/>
        <v>43</v>
      </c>
      <c r="G137" t="s">
        <v>29</v>
      </c>
      <c r="H137" s="7" t="str">
        <f t="shared" si="19"/>
        <v>United States</v>
      </c>
      <c r="I137" t="s">
        <v>218</v>
      </c>
      <c r="J137" s="7" t="str">
        <f>TEXT(
  IFERROR(
    DATEVALUE(SUBSTITUTE(SUBSTITUTE(TRIM(I137),"T"," "),"Z","")),
    IFERROR(
      DATE(
        RIGHT(TRIM(I137),4),
        MID(TRIM(I137),4,2),
        LEFT(TRIM(I137),2)
      ),
      DATE(
        VALUE(RIGHT(TRIM(I137),4)),
        MATCH(LEFT(TRIM(I137),FIND(" ",TRIM(I137))-1),
          {"January","February","March","April","May","June","July","August","September","October","November","December"},0),
        VALUE(MID(TRIM(I137),
          FIND(" ",TRIM(I137))+1,
          FIND(" ",TRIM(I137),FIND(" ",TRIM(I137))+1)-FIND(" ",TRIM(I137))-1))
      )
    )
  ),
"yyyy-mm-dd")</f>
        <v>2023-11-28</v>
      </c>
      <c r="K137" s="5" t="str">
        <f t="shared" si="20"/>
        <v>Nov</v>
      </c>
      <c r="L137">
        <v>1682124288</v>
      </c>
      <c r="M137" s="11">
        <f t="shared" si="21"/>
        <v>45038.031111111108</v>
      </c>
      <c r="N137">
        <v>541.89</v>
      </c>
      <c r="O137" s="7">
        <f t="shared" si="22"/>
        <v>541.89</v>
      </c>
      <c r="P137" t="s">
        <v>84</v>
      </c>
      <c r="Q137" s="7" t="str">
        <f t="shared" si="23"/>
        <v xml:space="preserve">Newsletter subscriber </v>
      </c>
    </row>
    <row r="138" spans="1:17">
      <c r="A138">
        <v>1560</v>
      </c>
      <c r="B138" t="s">
        <v>140</v>
      </c>
      <c r="C138" s="9" t="str">
        <f t="shared" si="16"/>
        <v>Anne Müller</v>
      </c>
      <c r="D138" s="7" t="str">
        <f t="shared" si="17"/>
        <v>Anne Müller</v>
      </c>
      <c r="E138">
        <v>43</v>
      </c>
      <c r="F138" s="7">
        <f t="shared" si="18"/>
        <v>43</v>
      </c>
      <c r="G138" t="s">
        <v>111</v>
      </c>
      <c r="H138" s="7" t="str">
        <f t="shared" si="19"/>
        <v>South Korea</v>
      </c>
      <c r="I138" t="s">
        <v>219</v>
      </c>
      <c r="J138" s="7" t="str">
        <f>TEXT(
  IFERROR(
    DATEVALUE(SUBSTITUTE(SUBSTITUTE(TRIM(I138),"T"," "),"Z","")),
    IFERROR(
      DATE(
        RIGHT(TRIM(I138),4),
        MID(TRIM(I138),4,2),
        LEFT(TRIM(I138),2)
      ),
      DATE(
        VALUE(RIGHT(TRIM(I138),4)),
        MATCH(LEFT(TRIM(I138),FIND(" ",TRIM(I138))-1),
          {"January","February","March","April","May","June","July","August","September","October","November","December"},0),
        VALUE(MID(TRIM(I138),
          FIND(" ",TRIM(I138))+1,
          FIND(" ",TRIM(I138),FIND(" ",TRIM(I138))+1)-FIND(" ",TRIM(I138))-1))
      )
    )
  ),
"yyyy-mm-dd")</f>
        <v>2023-07-17</v>
      </c>
      <c r="K138" s="5" t="str">
        <f t="shared" si="20"/>
        <v>Jul</v>
      </c>
      <c r="L138">
        <v>1678792545</v>
      </c>
      <c r="M138" s="11">
        <f t="shared" si="21"/>
        <v>44999.469270833331</v>
      </c>
      <c r="O138" s="7">
        <f t="shared" si="22"/>
        <v>0</v>
      </c>
      <c r="P138" t="s">
        <v>84</v>
      </c>
      <c r="Q138" s="7" t="str">
        <f t="shared" si="23"/>
        <v xml:space="preserve">Newsletter subscriber </v>
      </c>
    </row>
    <row r="139" spans="1:17">
      <c r="A139">
        <v>2064</v>
      </c>
      <c r="B139" t="s">
        <v>37</v>
      </c>
      <c r="C139" s="9" t="str">
        <f t="shared" si="16"/>
        <v>Akira Tanaka</v>
      </c>
      <c r="D139" s="7" t="str">
        <f t="shared" si="17"/>
        <v>Akira Tanaka</v>
      </c>
      <c r="E139">
        <v>64</v>
      </c>
      <c r="F139" s="7">
        <f t="shared" si="18"/>
        <v>64</v>
      </c>
      <c r="G139" t="s">
        <v>44</v>
      </c>
      <c r="H139" s="7" t="str">
        <f t="shared" si="19"/>
        <v>UAE</v>
      </c>
      <c r="I139" t="s">
        <v>220</v>
      </c>
      <c r="J139" s="7" t="str">
        <f>TEXT(
  IFERROR(
    DATEVALUE(SUBSTITUTE(SUBSTITUTE(TRIM(I139),"T"," "),"Z","")),
    IFERROR(
      DATE(
        RIGHT(TRIM(I139),4),
        MID(TRIM(I139),4,2),
        LEFT(TRIM(I139),2)
      ),
      DATE(
        VALUE(RIGHT(TRIM(I139),4)),
        MATCH(LEFT(TRIM(I139),FIND(" ",TRIM(I139))-1),
          {"January","February","March","April","May","June","July","August","September","October","November","December"},0),
        VALUE(MID(TRIM(I139),
          FIND(" ",TRIM(I139))+1,
          FIND(" ",TRIM(I139),FIND(" ",TRIM(I139))+1)-FIND(" ",TRIM(I139))-1))
      )
    )
  ),
"yyyy-mm-dd")</f>
        <v>2023-11-05</v>
      </c>
      <c r="K139" s="5" t="str">
        <f t="shared" si="20"/>
        <v>Nov</v>
      </c>
      <c r="L139">
        <v>1690827083</v>
      </c>
      <c r="M139" s="11">
        <f t="shared" si="21"/>
        <v>45138.757905092592</v>
      </c>
      <c r="N139">
        <v>447.71</v>
      </c>
      <c r="O139" s="7">
        <f t="shared" si="22"/>
        <v>447.71</v>
      </c>
      <c r="P139" t="s">
        <v>52</v>
      </c>
      <c r="Q139" s="7" t="str">
        <f t="shared" si="23"/>
        <v xml:space="preserve">Prefers email </v>
      </c>
    </row>
    <row r="140" spans="1:17">
      <c r="A140">
        <v>1672</v>
      </c>
      <c r="B140" t="s">
        <v>92</v>
      </c>
      <c r="C140" s="9" t="str">
        <f t="shared" si="16"/>
        <v>Zoë Kravitz</v>
      </c>
      <c r="D140" s="7" t="str">
        <f t="shared" si="17"/>
        <v xml:space="preserve"> Zoë Kravitz </v>
      </c>
      <c r="E140">
        <v>56</v>
      </c>
      <c r="F140" s="7">
        <f t="shared" si="18"/>
        <v>56</v>
      </c>
      <c r="G140" t="s">
        <v>44</v>
      </c>
      <c r="H140" s="7" t="str">
        <f t="shared" si="19"/>
        <v>UAE</v>
      </c>
      <c r="I140" t="s">
        <v>221</v>
      </c>
      <c r="J140" s="7" t="str">
        <f>TEXT(
  IFERROR(
    DATEVALUE(SUBSTITUTE(SUBSTITUTE(TRIM(I140),"T"," "),"Z","")),
    IFERROR(
      DATE(
        RIGHT(TRIM(I140),4),
        MID(TRIM(I140),4,2),
        LEFT(TRIM(I140),2)
      ),
      DATE(
        VALUE(RIGHT(TRIM(I140),4)),
        MATCH(LEFT(TRIM(I140),FIND(" ",TRIM(I140))-1),
          {"January","February","March","April","May","June","July","August","September","October","November","December"},0),
        VALUE(MID(TRIM(I140),
          FIND(" ",TRIM(I140))+1,
          FIND(" ",TRIM(I140),FIND(" ",TRIM(I140))+1)-FIND(" ",TRIM(I140))-1))
      )
    )
  ),
"yyyy-mm-dd")</f>
        <v>2023-03-27</v>
      </c>
      <c r="K140" s="5" t="str">
        <f t="shared" si="20"/>
        <v>Mar</v>
      </c>
      <c r="L140">
        <v>1684319959</v>
      </c>
      <c r="M140" s="11">
        <f t="shared" si="21"/>
        <v>45063.443969907406</v>
      </c>
      <c r="O140" s="7">
        <f t="shared" si="22"/>
        <v>0</v>
      </c>
      <c r="P140" t="s">
        <v>27</v>
      </c>
      <c r="Q140" s="7" t="str">
        <f t="shared" si="23"/>
        <v xml:space="preserve">Holiday signup </v>
      </c>
    </row>
    <row r="141" spans="1:17">
      <c r="A141">
        <v>1891</v>
      </c>
      <c r="B141" t="s">
        <v>37</v>
      </c>
      <c r="C141" s="9" t="str">
        <f t="shared" si="16"/>
        <v>Akira Tanaka</v>
      </c>
      <c r="D141" s="7" t="str">
        <f t="shared" si="17"/>
        <v>Akira Tanaka</v>
      </c>
      <c r="E141">
        <v>22</v>
      </c>
      <c r="F141" s="7">
        <f t="shared" si="18"/>
        <v>22</v>
      </c>
      <c r="G141" t="s">
        <v>116</v>
      </c>
      <c r="H141" s="7" t="str">
        <f t="shared" si="19"/>
        <v>China</v>
      </c>
      <c r="I141" t="s">
        <v>222</v>
      </c>
      <c r="J141" s="7" t="str">
        <f>TEXT(
  IFERROR(
    DATEVALUE(SUBSTITUTE(SUBSTITUTE(TRIM(I141),"T"," "),"Z","")),
    IFERROR(
      DATE(
        RIGHT(TRIM(I141),4),
        MID(TRIM(I141),4,2),
        LEFT(TRIM(I141),2)
      ),
      DATE(
        VALUE(RIGHT(TRIM(I141),4)),
        MATCH(LEFT(TRIM(I141),FIND(" ",TRIM(I141))-1),
          {"January","February","March","April","May","June","July","August","September","October","November","December"},0),
        VALUE(MID(TRIM(I141),
          FIND(" ",TRIM(I141))+1,
          FIND(" ",TRIM(I141),FIND(" ",TRIM(I141))+1)-FIND(" ",TRIM(I141))-1))
      )
    )
  ),
"yyyy-mm-dd")</f>
        <v>2023-07-06</v>
      </c>
      <c r="K141" s="5" t="str">
        <f t="shared" si="20"/>
        <v>Jul</v>
      </c>
      <c r="L141">
        <v>1699404320</v>
      </c>
      <c r="M141" s="11">
        <f t="shared" si="21"/>
        <v>45238.031481481477</v>
      </c>
      <c r="N141">
        <v>1127.3499999999999</v>
      </c>
      <c r="O141" s="7">
        <f t="shared" si="22"/>
        <v>1127.3499999999999</v>
      </c>
      <c r="P141" t="s">
        <v>20</v>
      </c>
      <c r="Q141" s="7" t="str">
        <f t="shared" si="23"/>
        <v xml:space="preserve">Great customer </v>
      </c>
    </row>
    <row r="142" spans="1:17">
      <c r="A142">
        <v>1293</v>
      </c>
      <c r="B142" t="s">
        <v>183</v>
      </c>
      <c r="C142" s="9" t="str">
        <f t="shared" si="16"/>
        <v>Mia Thompson</v>
      </c>
      <c r="D142" s="7" t="str">
        <f t="shared" si="17"/>
        <v>Mia Thompson</v>
      </c>
      <c r="E142">
        <v>46</v>
      </c>
      <c r="F142" s="7">
        <f t="shared" si="18"/>
        <v>46</v>
      </c>
      <c r="G142" t="s">
        <v>29</v>
      </c>
      <c r="H142" s="7" t="str">
        <f t="shared" si="19"/>
        <v>United States</v>
      </c>
      <c r="I142" t="s">
        <v>108</v>
      </c>
      <c r="J142" s="7" t="str">
        <f>TEXT(
  IFERROR(
    DATEVALUE(SUBSTITUTE(SUBSTITUTE(TRIM(I142),"T"," "),"Z","")),
    IFERROR(
      DATE(
        RIGHT(TRIM(I142),4),
        MID(TRIM(I142),4,2),
        LEFT(TRIM(I142),2)
      ),
      DATE(
        VALUE(RIGHT(TRIM(I142),4)),
        MATCH(LEFT(TRIM(I142),FIND(" ",TRIM(I142))-1),
          {"January","February","March","April","May","June","July","August","September","October","November","December"},0),
        VALUE(MID(TRIM(I142),
          FIND(" ",TRIM(I142))+1,
          FIND(" ",TRIM(I142),FIND(" ",TRIM(I142))+1)-FIND(" ",TRIM(I142))-1))
      )
    )
  ),
"yyyy-mm-dd")</f>
        <v>2023-01-05</v>
      </c>
      <c r="K142" s="5" t="str">
        <f t="shared" si="20"/>
        <v>Jan</v>
      </c>
      <c r="L142">
        <v>1684675757</v>
      </c>
      <c r="M142" s="11">
        <f t="shared" si="21"/>
        <v>45067.562002314815</v>
      </c>
      <c r="N142">
        <v>580.45000000000005</v>
      </c>
      <c r="O142" s="7">
        <f t="shared" si="22"/>
        <v>580.45000000000005</v>
      </c>
      <c r="P142" t="s">
        <v>27</v>
      </c>
      <c r="Q142" s="7" t="str">
        <f t="shared" si="23"/>
        <v xml:space="preserve">Holiday signup </v>
      </c>
    </row>
    <row r="143" spans="1:17">
      <c r="A143">
        <v>1315</v>
      </c>
      <c r="B143" t="s">
        <v>101</v>
      </c>
      <c r="C143" s="9" t="str">
        <f t="shared" si="16"/>
        <v>Zoë Kravitz</v>
      </c>
      <c r="D143" s="7" t="str">
        <f t="shared" si="17"/>
        <v>Zoë Kravitz</v>
      </c>
      <c r="F143" s="7">
        <f t="shared" si="18"/>
        <v>43</v>
      </c>
      <c r="G143" t="s">
        <v>29</v>
      </c>
      <c r="H143" s="7" t="str">
        <f t="shared" si="19"/>
        <v>United States</v>
      </c>
      <c r="I143" t="s">
        <v>223</v>
      </c>
      <c r="J143" s="7" t="str">
        <f>TEXT(
  IFERROR(
    DATEVALUE(SUBSTITUTE(SUBSTITUTE(TRIM(I143),"T"," "),"Z","")),
    IFERROR(
      DATE(
        RIGHT(TRIM(I143),4),
        MID(TRIM(I143),4,2),
        LEFT(TRIM(I143),2)
      ),
      DATE(
        VALUE(RIGHT(TRIM(I143),4)),
        MATCH(LEFT(TRIM(I143),FIND(" ",TRIM(I143))-1),
          {"January","February","March","April","May","June","July","August","September","October","November","December"},0),
        VALUE(MID(TRIM(I143),
          FIND(" ",TRIM(I143))+1,
          FIND(" ",TRIM(I143),FIND(" ",TRIM(I143))+1)-FIND(" ",TRIM(I143))-1))
      )
    )
  ),
"yyyy-mm-dd")</f>
        <v>2023-10-21</v>
      </c>
      <c r="K143" s="5" t="str">
        <f t="shared" si="20"/>
        <v>Oct</v>
      </c>
      <c r="L143">
        <v>1690289725</v>
      </c>
      <c r="M143" s="11">
        <f t="shared" si="21"/>
        <v>45132.538483796292</v>
      </c>
      <c r="O143" s="7">
        <f t="shared" si="22"/>
        <v>0</v>
      </c>
      <c r="P143" t="s">
        <v>58</v>
      </c>
      <c r="Q143" s="7" t="str">
        <f t="shared" si="23"/>
        <v>Student account</v>
      </c>
    </row>
    <row r="144" spans="1:17">
      <c r="A144">
        <v>1512</v>
      </c>
      <c r="B144" t="s">
        <v>224</v>
      </c>
      <c r="C144" s="9" t="str">
        <f t="shared" si="16"/>
        <v>Anne Müller</v>
      </c>
      <c r="D144" s="7" t="str">
        <f t="shared" si="17"/>
        <v xml:space="preserve"> Anne Müller </v>
      </c>
      <c r="E144">
        <v>49</v>
      </c>
      <c r="F144" s="7">
        <f t="shared" si="18"/>
        <v>49</v>
      </c>
      <c r="G144" t="s">
        <v>116</v>
      </c>
      <c r="H144" s="7" t="str">
        <f t="shared" si="19"/>
        <v>China</v>
      </c>
      <c r="I144" t="s">
        <v>225</v>
      </c>
      <c r="J144" s="7" t="str">
        <f>TEXT(
  IFERROR(
    DATEVALUE(SUBSTITUTE(SUBSTITUTE(TRIM(I144),"T"," "),"Z","")),
    IFERROR(
      DATE(
        RIGHT(TRIM(I144),4),
        MID(TRIM(I144),4,2),
        LEFT(TRIM(I144),2)
      ),
      DATE(
        VALUE(RIGHT(TRIM(I144),4)),
        MATCH(LEFT(TRIM(I144),FIND(" ",TRIM(I144))-1),
          {"January","February","March","April","May","June","July","August","September","October","November","December"},0),
        VALUE(MID(TRIM(I144),
          FIND(" ",TRIM(I144))+1,
          FIND(" ",TRIM(I144),FIND(" ",TRIM(I144))+1)-FIND(" ",TRIM(I144))-1))
      )
    )
  ),
"yyyy-mm-dd")</f>
        <v>2023-10-15</v>
      </c>
      <c r="K144" s="5" t="str">
        <f t="shared" si="20"/>
        <v>Oct</v>
      </c>
      <c r="L144">
        <v>1681307767</v>
      </c>
      <c r="M144" s="11">
        <f t="shared" si="21"/>
        <v>45028.580636574072</v>
      </c>
      <c r="O144" s="7">
        <f t="shared" si="22"/>
        <v>0</v>
      </c>
      <c r="P144" t="s">
        <v>40</v>
      </c>
      <c r="Q144" s="7" t="str">
        <f t="shared" si="23"/>
        <v xml:space="preserve">VIP client </v>
      </c>
    </row>
    <row r="145" spans="1:17">
      <c r="A145">
        <v>1585</v>
      </c>
      <c r="B145" t="s">
        <v>24</v>
      </c>
      <c r="C145" s="9" t="str">
        <f t="shared" si="16"/>
        <v>Renée Dupont</v>
      </c>
      <c r="D145" s="7" t="str">
        <f t="shared" si="17"/>
        <v>Renée Dupont</v>
      </c>
      <c r="E145">
        <v>49</v>
      </c>
      <c r="F145" s="7">
        <f t="shared" si="18"/>
        <v>49</v>
      </c>
      <c r="G145" t="s">
        <v>18</v>
      </c>
      <c r="H145" s="7" t="str">
        <f t="shared" si="19"/>
        <v>United Kingdom</v>
      </c>
      <c r="I145" t="s">
        <v>226</v>
      </c>
      <c r="J145" s="7" t="str">
        <f>TEXT(
  IFERROR(
    DATEVALUE(SUBSTITUTE(SUBSTITUTE(TRIM(I145),"T"," "),"Z","")),
    IFERROR(
      DATE(
        RIGHT(TRIM(I145),4),
        MID(TRIM(I145),4,2),
        LEFT(TRIM(I145),2)
      ),
      DATE(
        VALUE(RIGHT(TRIM(I145),4)),
        MATCH(LEFT(TRIM(I145),FIND(" ",TRIM(I145))-1),
          {"January","February","March","April","May","June","July","August","September","October","November","December"},0),
        VALUE(MID(TRIM(I145),
          FIND(" ",TRIM(I145))+1,
          FIND(" ",TRIM(I145),FIND(" ",TRIM(I145))+1)-FIND(" ",TRIM(I145))-1))
      )
    )
  ),
"yyyy-mm-dd")</f>
        <v>2023-02-07</v>
      </c>
      <c r="K145" s="5" t="str">
        <f t="shared" si="20"/>
        <v>Feb</v>
      </c>
      <c r="L145">
        <v>1678317386</v>
      </c>
      <c r="M145" s="11">
        <f t="shared" si="21"/>
        <v>44993.96974537037</v>
      </c>
      <c r="O145" s="7">
        <f t="shared" si="22"/>
        <v>0</v>
      </c>
      <c r="P145" t="s">
        <v>52</v>
      </c>
      <c r="Q145" s="7" t="str">
        <f t="shared" si="23"/>
        <v xml:space="preserve">Prefers email </v>
      </c>
    </row>
    <row r="146" spans="1:17">
      <c r="A146">
        <v>1655</v>
      </c>
      <c r="B146" t="s">
        <v>101</v>
      </c>
      <c r="C146" s="9" t="str">
        <f t="shared" si="16"/>
        <v>Zoë Kravitz</v>
      </c>
      <c r="D146" s="7" t="str">
        <f t="shared" si="17"/>
        <v>Zoë Kravitz</v>
      </c>
      <c r="E146">
        <v>53</v>
      </c>
      <c r="F146" s="7">
        <f t="shared" si="18"/>
        <v>53</v>
      </c>
      <c r="G146" t="s">
        <v>102</v>
      </c>
      <c r="H146" s="7" t="str">
        <f t="shared" si="19"/>
        <v>Mexico</v>
      </c>
      <c r="I146" t="s">
        <v>227</v>
      </c>
      <c r="J146" s="7" t="str">
        <f>TEXT(
  IFERROR(
    DATEVALUE(SUBSTITUTE(SUBSTITUTE(TRIM(I146),"T"," "),"Z","")),
    IFERROR(
      DATE(
        RIGHT(TRIM(I146),4),
        MID(TRIM(I146),4,2),
        LEFT(TRIM(I146),2)
      ),
      DATE(
        VALUE(RIGHT(TRIM(I146),4)),
        MATCH(LEFT(TRIM(I146),FIND(" ",TRIM(I146))-1),
          {"January","February","March","April","May","June","July","August","September","October","November","December"},0),
        VALUE(MID(TRIM(I146),
          FIND(" ",TRIM(I146))+1,
          FIND(" ",TRIM(I146),FIND(" ",TRIM(I146))+1)-FIND(" ",TRIM(I146))-1))
      )
    )
  ),
"yyyy-mm-dd")</f>
        <v>2023-06-03</v>
      </c>
      <c r="K146" s="5" t="str">
        <f t="shared" si="20"/>
        <v>Jun</v>
      </c>
      <c r="L146">
        <v>1696408350</v>
      </c>
      <c r="M146" s="11">
        <f t="shared" si="21"/>
        <v>45203.355902777781</v>
      </c>
      <c r="N146">
        <v>1067.25</v>
      </c>
      <c r="O146" s="7">
        <f t="shared" si="22"/>
        <v>1067.25</v>
      </c>
      <c r="P146" t="s">
        <v>84</v>
      </c>
      <c r="Q146" s="7" t="str">
        <f t="shared" si="23"/>
        <v xml:space="preserve">Newsletter subscriber </v>
      </c>
    </row>
    <row r="147" spans="1:17">
      <c r="A147">
        <v>2042</v>
      </c>
      <c r="B147" t="s">
        <v>66</v>
      </c>
      <c r="C147" s="9" t="str">
        <f t="shared" si="16"/>
        <v>Emily Davis</v>
      </c>
      <c r="D147" s="7" t="str">
        <f t="shared" si="17"/>
        <v xml:space="preserve"> Emily Davis </v>
      </c>
      <c r="E147">
        <v>30</v>
      </c>
      <c r="F147" s="7">
        <f t="shared" si="18"/>
        <v>30</v>
      </c>
      <c r="G147" t="s">
        <v>60</v>
      </c>
      <c r="H147" s="7" t="str">
        <f t="shared" si="19"/>
        <v>Egypt</v>
      </c>
      <c r="I147" t="s">
        <v>228</v>
      </c>
      <c r="J147" s="7" t="str">
        <f>TEXT(
  IFERROR(
    DATEVALUE(SUBSTITUTE(SUBSTITUTE(TRIM(I147),"T"," "),"Z","")),
    IFERROR(
      DATE(
        RIGHT(TRIM(I147),4),
        MID(TRIM(I147),4,2),
        LEFT(TRIM(I147),2)
      ),
      DATE(
        VALUE(RIGHT(TRIM(I147),4)),
        MATCH(LEFT(TRIM(I147),FIND(" ",TRIM(I147))-1),
          {"January","February","March","April","May","June","July","August","September","October","November","December"},0),
        VALUE(MID(TRIM(I147),
          FIND(" ",TRIM(I147))+1,
          FIND(" ",TRIM(I147),FIND(" ",TRIM(I147))+1)-FIND(" ",TRIM(I147))-1))
      )
    )
  ),
"yyyy-mm-dd")</f>
        <v>2023-01-14</v>
      </c>
      <c r="K147" s="5" t="str">
        <f t="shared" si="20"/>
        <v>Jan</v>
      </c>
      <c r="L147">
        <v>1691113874</v>
      </c>
      <c r="M147" s="11">
        <f t="shared" si="21"/>
        <v>45142.077245370368</v>
      </c>
      <c r="O147" s="7">
        <f t="shared" si="22"/>
        <v>0</v>
      </c>
      <c r="P147" t="s">
        <v>46</v>
      </c>
      <c r="Q147" s="7" t="str">
        <f t="shared" si="23"/>
        <v>Corporate account</v>
      </c>
    </row>
    <row r="148" spans="1:17">
      <c r="A148">
        <v>1266</v>
      </c>
      <c r="B148" t="s">
        <v>183</v>
      </c>
      <c r="C148" s="9" t="str">
        <f t="shared" si="16"/>
        <v>Mia Thompson</v>
      </c>
      <c r="D148" s="7" t="str">
        <f t="shared" si="17"/>
        <v>Mia Thompson</v>
      </c>
      <c r="F148" s="7">
        <f t="shared" si="18"/>
        <v>43</v>
      </c>
      <c r="G148" t="s">
        <v>60</v>
      </c>
      <c r="H148" s="7" t="str">
        <f t="shared" si="19"/>
        <v>Egypt</v>
      </c>
      <c r="I148" t="s">
        <v>229</v>
      </c>
      <c r="J148" s="7" t="str">
        <f>TEXT(
  IFERROR(
    DATEVALUE(SUBSTITUTE(SUBSTITUTE(TRIM(I148),"T"," "),"Z","")),
    IFERROR(
      DATE(
        RIGHT(TRIM(I148),4),
        MID(TRIM(I148),4,2),
        LEFT(TRIM(I148),2)
      ),
      DATE(
        VALUE(RIGHT(TRIM(I148),4)),
        MATCH(LEFT(TRIM(I148),FIND(" ",TRIM(I148))-1),
          {"January","February","March","April","May","June","July","August","September","October","November","December"},0),
        VALUE(MID(TRIM(I148),
          FIND(" ",TRIM(I148))+1,
          FIND(" ",TRIM(I148),FIND(" ",TRIM(I148))+1)-FIND(" ",TRIM(I148))-1))
      )
    )
  ),
"yyyy-mm-dd")</f>
        <v>2023-09-27</v>
      </c>
      <c r="K148" s="5" t="str">
        <f t="shared" si="20"/>
        <v>Sep</v>
      </c>
      <c r="L148">
        <v>1698332879</v>
      </c>
      <c r="M148" s="11">
        <f t="shared" si="21"/>
        <v>45225.630543981482</v>
      </c>
      <c r="N148">
        <v>620.05999999999995</v>
      </c>
      <c r="O148" s="7">
        <f t="shared" si="22"/>
        <v>620.05999999999995</v>
      </c>
      <c r="P148" t="s">
        <v>33</v>
      </c>
      <c r="Q148" s="7" t="str">
        <f t="shared" si="23"/>
        <v>Frequent buyer n</v>
      </c>
    </row>
    <row r="149" spans="1:17">
      <c r="A149">
        <v>1650</v>
      </c>
      <c r="B149" t="s">
        <v>114</v>
      </c>
      <c r="C149" s="9" t="str">
        <f t="shared" si="16"/>
        <v>Liam O’Connor</v>
      </c>
      <c r="D149" s="7" t="str">
        <f t="shared" si="17"/>
        <v xml:space="preserve"> Liam O’Connor </v>
      </c>
      <c r="E149">
        <v>61</v>
      </c>
      <c r="F149" s="7">
        <f t="shared" si="18"/>
        <v>61</v>
      </c>
      <c r="G149" t="s">
        <v>122</v>
      </c>
      <c r="H149" s="7" t="str">
        <f t="shared" si="19"/>
        <v>Italy</v>
      </c>
      <c r="I149" t="s">
        <v>230</v>
      </c>
      <c r="J149" s="7" t="str">
        <f>TEXT(
  IFERROR(
    DATEVALUE(SUBSTITUTE(SUBSTITUTE(TRIM(I149),"T"," "),"Z","")),
    IFERROR(
      DATE(
        RIGHT(TRIM(I149),4),
        MID(TRIM(I149),4,2),
        LEFT(TRIM(I149),2)
      ),
      DATE(
        VALUE(RIGHT(TRIM(I149),4)),
        MATCH(LEFT(TRIM(I149),FIND(" ",TRIM(I149))-1),
          {"January","February","March","April","May","June","July","August","September","October","November","December"},0),
        VALUE(MID(TRIM(I149),
          FIND(" ",TRIM(I149))+1,
          FIND(" ",TRIM(I149),FIND(" ",TRIM(I149))+1)-FIND(" ",TRIM(I149))-1))
      )
    )
  ),
"yyyy-mm-dd")</f>
        <v>2023-03-07</v>
      </c>
      <c r="K149" s="5" t="str">
        <f t="shared" si="20"/>
        <v>Mar</v>
      </c>
      <c r="L149">
        <v>1693991921</v>
      </c>
      <c r="M149" s="11">
        <f t="shared" si="21"/>
        <v>45175.387974537036</v>
      </c>
      <c r="N149">
        <v>885.8</v>
      </c>
      <c r="O149" s="7">
        <f t="shared" si="22"/>
        <v>885.8</v>
      </c>
      <c r="P149" t="s">
        <v>118</v>
      </c>
      <c r="Q149" s="7" t="str">
        <f t="shared" si="23"/>
        <v>High engagement</v>
      </c>
    </row>
    <row r="150" spans="1:17">
      <c r="A150">
        <v>2030</v>
      </c>
      <c r="B150" t="s">
        <v>28</v>
      </c>
      <c r="C150" s="9" t="str">
        <f t="shared" si="16"/>
        <v>Maria Lopez</v>
      </c>
      <c r="D150" s="7" t="str">
        <f t="shared" si="17"/>
        <v>Maria Lopez</v>
      </c>
      <c r="F150" s="7">
        <f t="shared" si="18"/>
        <v>43</v>
      </c>
      <c r="G150" t="s">
        <v>48</v>
      </c>
      <c r="H150" s="7" t="str">
        <f t="shared" si="19"/>
        <v>France</v>
      </c>
      <c r="I150" t="s">
        <v>231</v>
      </c>
      <c r="J150" s="7" t="str">
        <f>TEXT(
  IFERROR(
    DATEVALUE(SUBSTITUTE(SUBSTITUTE(TRIM(I150),"T"," "),"Z","")),
    IFERROR(
      DATE(
        RIGHT(TRIM(I150),4),
        MID(TRIM(I150),4,2),
        LEFT(TRIM(I150),2)
      ),
      DATE(
        VALUE(RIGHT(TRIM(I150),4)),
        MATCH(LEFT(TRIM(I150),FIND(" ",TRIM(I150))-1),
          {"January","February","March","April","May","June","July","August","September","October","November","December"},0),
        VALUE(MID(TRIM(I150),
          FIND(" ",TRIM(I150))+1,
          FIND(" ",TRIM(I150),FIND(" ",TRIM(I150))+1)-FIND(" ",TRIM(I150))-1))
      )
    )
  ),
"yyyy-mm-dd")</f>
        <v>2023-03-24</v>
      </c>
      <c r="K150" s="5" t="str">
        <f t="shared" si="20"/>
        <v>Mar</v>
      </c>
      <c r="L150">
        <v>1703888597</v>
      </c>
      <c r="M150" s="11">
        <f t="shared" si="21"/>
        <v>45289.932835648149</v>
      </c>
      <c r="O150" s="7">
        <f t="shared" si="22"/>
        <v>0</v>
      </c>
      <c r="P150" t="s">
        <v>46</v>
      </c>
      <c r="Q150" s="7" t="str">
        <f t="shared" si="23"/>
        <v>Corporate account</v>
      </c>
    </row>
    <row r="151" spans="1:17">
      <c r="A151">
        <v>1582</v>
      </c>
      <c r="B151" t="s">
        <v>146</v>
      </c>
      <c r="C151" s="9" t="str">
        <f t="shared" si="16"/>
        <v>Li Wei</v>
      </c>
      <c r="D151" s="7" t="str">
        <f t="shared" si="17"/>
        <v xml:space="preserve"> Li Wei </v>
      </c>
      <c r="F151" s="7">
        <f t="shared" si="18"/>
        <v>43</v>
      </c>
      <c r="G151" t="s">
        <v>18</v>
      </c>
      <c r="H151" s="7" t="str">
        <f t="shared" si="19"/>
        <v>United Kingdom</v>
      </c>
      <c r="I151" t="s">
        <v>232</v>
      </c>
      <c r="J151" s="7" t="str">
        <f>TEXT(
  IFERROR(
    DATEVALUE(SUBSTITUTE(SUBSTITUTE(TRIM(I151),"T"," "),"Z","")),
    IFERROR(
      DATE(
        RIGHT(TRIM(I151),4),
        MID(TRIM(I151),4,2),
        LEFT(TRIM(I151),2)
      ),
      DATE(
        VALUE(RIGHT(TRIM(I151),4)),
        MATCH(LEFT(TRIM(I151),FIND(" ",TRIM(I151))-1),
          {"January","February","March","April","May","June","July","August","September","October","November","December"},0),
        VALUE(MID(TRIM(I151),
          FIND(" ",TRIM(I151))+1,
          FIND(" ",TRIM(I151),FIND(" ",TRIM(I151))+1)-FIND(" ",TRIM(I151))-1))
      )
    )
  ),
"yyyy-mm-dd")</f>
        <v>2023-11-17</v>
      </c>
      <c r="K151" s="5" t="str">
        <f t="shared" si="20"/>
        <v>Nov</v>
      </c>
      <c r="L151">
        <v>1693140791</v>
      </c>
      <c r="M151" s="11">
        <f t="shared" si="21"/>
        <v>45165.536932870367</v>
      </c>
      <c r="N151">
        <v>804.88</v>
      </c>
      <c r="O151" s="7">
        <f t="shared" si="22"/>
        <v>804.88</v>
      </c>
      <c r="P151" t="s">
        <v>27</v>
      </c>
      <c r="Q151" s="7" t="str">
        <f t="shared" si="23"/>
        <v xml:space="preserve">Holiday signup </v>
      </c>
    </row>
    <row r="152" spans="1:17">
      <c r="A152">
        <v>2182</v>
      </c>
      <c r="B152" t="s">
        <v>37</v>
      </c>
      <c r="C152" s="9" t="str">
        <f t="shared" si="16"/>
        <v>Akira Tanaka</v>
      </c>
      <c r="D152" s="7" t="str">
        <f t="shared" si="17"/>
        <v>Akira Tanaka</v>
      </c>
      <c r="E152">
        <v>44</v>
      </c>
      <c r="F152" s="7">
        <f t="shared" si="18"/>
        <v>44</v>
      </c>
      <c r="G152" t="s">
        <v>29</v>
      </c>
      <c r="H152" s="7" t="str">
        <f t="shared" si="19"/>
        <v>United States</v>
      </c>
      <c r="I152" t="s">
        <v>233</v>
      </c>
      <c r="J152" s="7" t="str">
        <f>TEXT(
  IFERROR(
    DATEVALUE(SUBSTITUTE(SUBSTITUTE(TRIM(I152),"T"," "),"Z","")),
    IFERROR(
      DATE(
        RIGHT(TRIM(I152),4),
        MID(TRIM(I152),4,2),
        LEFT(TRIM(I152),2)
      ),
      DATE(
        VALUE(RIGHT(TRIM(I152),4)),
        MATCH(LEFT(TRIM(I152),FIND(" ",TRIM(I152))-1),
          {"January","February","March","April","May","June","July","August","September","October","November","December"},0),
        VALUE(MID(TRIM(I152),
          FIND(" ",TRIM(I152))+1,
          FIND(" ",TRIM(I152),FIND(" ",TRIM(I152))+1)-FIND(" ",TRIM(I152))-1))
      )
    )
  ),
"yyyy-mm-dd")</f>
        <v>2023-09-12</v>
      </c>
      <c r="K152" s="5" t="str">
        <f t="shared" si="20"/>
        <v>Sep</v>
      </c>
      <c r="L152">
        <v>1682243767</v>
      </c>
      <c r="M152" s="11">
        <f t="shared" si="21"/>
        <v>45039.413969907408</v>
      </c>
      <c r="O152" s="7">
        <f t="shared" si="22"/>
        <v>0</v>
      </c>
      <c r="P152" t="s">
        <v>36</v>
      </c>
      <c r="Q152" s="7" t="str">
        <f t="shared" si="23"/>
        <v>Regular shopper</v>
      </c>
    </row>
    <row r="153" spans="1:17">
      <c r="A153">
        <v>1502</v>
      </c>
      <c r="B153" t="s">
        <v>101</v>
      </c>
      <c r="C153" s="9" t="str">
        <f t="shared" si="16"/>
        <v>Zoë Kravitz</v>
      </c>
      <c r="D153" s="7" t="str">
        <f t="shared" si="17"/>
        <v>Zoë Kravitz</v>
      </c>
      <c r="E153">
        <v>22</v>
      </c>
      <c r="F153" s="7">
        <f t="shared" si="18"/>
        <v>22</v>
      </c>
      <c r="G153" t="s">
        <v>29</v>
      </c>
      <c r="H153" s="7" t="str">
        <f t="shared" si="19"/>
        <v>United States</v>
      </c>
      <c r="I153" t="s">
        <v>234</v>
      </c>
      <c r="J153" s="7" t="str">
        <f>TEXT(
  IFERROR(
    DATEVALUE(SUBSTITUTE(SUBSTITUTE(TRIM(I153),"T"," "),"Z","")),
    IFERROR(
      DATE(
        RIGHT(TRIM(I153),4),
        MID(TRIM(I153),4,2),
        LEFT(TRIM(I153),2)
      ),
      DATE(
        VALUE(RIGHT(TRIM(I153),4)),
        MATCH(LEFT(TRIM(I153),FIND(" ",TRIM(I153))-1),
          {"January","February","March","April","May","June","July","August","September","October","November","December"},0),
        VALUE(MID(TRIM(I153),
          FIND(" ",TRIM(I153))+1,
          FIND(" ",TRIM(I153),FIND(" ",TRIM(I153))+1)-FIND(" ",TRIM(I153))-1))
      )
    )
  ),
"yyyy-mm-dd")</f>
        <v>2023-03-22</v>
      </c>
      <c r="K153" s="5" t="str">
        <f t="shared" si="20"/>
        <v>Mar</v>
      </c>
      <c r="L153">
        <v>1686469951</v>
      </c>
      <c r="M153" s="11">
        <f t="shared" si="21"/>
        <v>45088.32813657407</v>
      </c>
      <c r="N153">
        <v>731.53</v>
      </c>
      <c r="O153" s="7">
        <f t="shared" si="22"/>
        <v>731.53</v>
      </c>
      <c r="P153" t="s">
        <v>84</v>
      </c>
      <c r="Q153" s="7" t="str">
        <f t="shared" si="23"/>
        <v xml:space="preserve">Newsletter subscriber </v>
      </c>
    </row>
    <row r="154" spans="1:17">
      <c r="A154">
        <v>1295</v>
      </c>
      <c r="B154" t="s">
        <v>41</v>
      </c>
      <c r="C154" s="9" t="str">
        <f t="shared" si="16"/>
        <v>Lucas Silva</v>
      </c>
      <c r="D154" s="7" t="str">
        <f t="shared" si="17"/>
        <v>Lucas Silva</v>
      </c>
      <c r="F154" s="7">
        <f t="shared" si="18"/>
        <v>43</v>
      </c>
      <c r="G154" t="s">
        <v>116</v>
      </c>
      <c r="H154" s="7" t="str">
        <f t="shared" si="19"/>
        <v>China</v>
      </c>
      <c r="I154" t="s">
        <v>235</v>
      </c>
      <c r="J154" s="7" t="str">
        <f>TEXT(
  IFERROR(
    DATEVALUE(SUBSTITUTE(SUBSTITUTE(TRIM(I154),"T"," "),"Z","")),
    IFERROR(
      DATE(
        RIGHT(TRIM(I154),4),
        MID(TRIM(I154),4,2),
        LEFT(TRIM(I154),2)
      ),
      DATE(
        VALUE(RIGHT(TRIM(I154),4)),
        MATCH(LEFT(TRIM(I154),FIND(" ",TRIM(I154))-1),
          {"January","February","March","April","May","June","July","August","September","October","November","December"},0),
        VALUE(MID(TRIM(I154),
          FIND(" ",TRIM(I154))+1,
          FIND(" ",TRIM(I154),FIND(" ",TRIM(I154))+1)-FIND(" ",TRIM(I154))-1))
      )
    )
  ),
"yyyy-mm-dd")</f>
        <v>2023-08-03</v>
      </c>
      <c r="K154" s="5" t="str">
        <f t="shared" si="20"/>
        <v>Aug</v>
      </c>
      <c r="L154">
        <v>1689803865</v>
      </c>
      <c r="M154" s="11">
        <f t="shared" si="21"/>
        <v>45126.915104166663</v>
      </c>
      <c r="O154" s="7">
        <f t="shared" si="22"/>
        <v>0</v>
      </c>
      <c r="P154" t="s">
        <v>40</v>
      </c>
      <c r="Q154" s="7" t="str">
        <f t="shared" si="23"/>
        <v xml:space="preserve">VIP client </v>
      </c>
    </row>
    <row r="155" spans="1:17">
      <c r="A155">
        <v>1956</v>
      </c>
      <c r="B155" t="s">
        <v>224</v>
      </c>
      <c r="C155" s="9" t="str">
        <f t="shared" si="16"/>
        <v>Anne Müller</v>
      </c>
      <c r="D155" s="7" t="str">
        <f t="shared" si="17"/>
        <v xml:space="preserve"> Anne Müller </v>
      </c>
      <c r="E155">
        <v>33</v>
      </c>
      <c r="F155" s="7">
        <f t="shared" si="18"/>
        <v>33</v>
      </c>
      <c r="G155" t="s">
        <v>29</v>
      </c>
      <c r="H155" s="7" t="str">
        <f t="shared" si="19"/>
        <v>United States</v>
      </c>
      <c r="I155" t="s">
        <v>236</v>
      </c>
      <c r="J155" s="7" t="str">
        <f>TEXT(
  IFERROR(
    DATEVALUE(SUBSTITUTE(SUBSTITUTE(TRIM(I155),"T"," "),"Z","")),
    IFERROR(
      DATE(
        RIGHT(TRIM(I155),4),
        MID(TRIM(I155),4,2),
        LEFT(TRIM(I155),2)
      ),
      DATE(
        VALUE(RIGHT(TRIM(I155),4)),
        MATCH(LEFT(TRIM(I155),FIND(" ",TRIM(I155))-1),
          {"January","February","March","April","May","June","July","August","September","October","November","December"},0),
        VALUE(MID(TRIM(I155),
          FIND(" ",TRIM(I155))+1,
          FIND(" ",TRIM(I155),FIND(" ",TRIM(I155))+1)-FIND(" ",TRIM(I155))-1))
      )
    )
  ),
"yyyy-mm-dd")</f>
        <v>2023-05-29</v>
      </c>
      <c r="K155" s="5" t="str">
        <f t="shared" si="20"/>
        <v>May</v>
      </c>
      <c r="L155">
        <v>1701520527</v>
      </c>
      <c r="M155" s="11">
        <f t="shared" si="21"/>
        <v>45262.524618055555</v>
      </c>
      <c r="N155">
        <v>926.91</v>
      </c>
      <c r="O155" s="7">
        <f t="shared" si="22"/>
        <v>926.91</v>
      </c>
      <c r="P155" t="s">
        <v>33</v>
      </c>
      <c r="Q155" s="7" t="str">
        <f t="shared" si="23"/>
        <v>Frequent buyer n</v>
      </c>
    </row>
    <row r="156" spans="1:17">
      <c r="A156">
        <v>1671</v>
      </c>
      <c r="B156" t="s">
        <v>166</v>
      </c>
      <c r="C156" s="9" t="str">
        <f t="shared" si="16"/>
        <v>Daniel Kim</v>
      </c>
      <c r="D156" s="7" t="str">
        <f t="shared" si="17"/>
        <v>Daniel Kim</v>
      </c>
      <c r="F156" s="7">
        <f t="shared" si="18"/>
        <v>43</v>
      </c>
      <c r="G156" t="s">
        <v>67</v>
      </c>
      <c r="H156" s="7" t="str">
        <f t="shared" si="19"/>
        <v>Sweden</v>
      </c>
      <c r="I156" t="s">
        <v>237</v>
      </c>
      <c r="J156" s="7" t="str">
        <f>TEXT(
  IFERROR(
    DATEVALUE(SUBSTITUTE(SUBSTITUTE(TRIM(I156),"T"," "),"Z","")),
    IFERROR(
      DATE(
        RIGHT(TRIM(I156),4),
        MID(TRIM(I156),4,2),
        LEFT(TRIM(I156),2)
      ),
      DATE(
        VALUE(RIGHT(TRIM(I156),4)),
        MATCH(LEFT(TRIM(I156),FIND(" ",TRIM(I156))-1),
          {"January","February","March","April","May","June","July","August","September","October","November","December"},0),
        VALUE(MID(TRIM(I156),
          FIND(" ",TRIM(I156))+1,
          FIND(" ",TRIM(I156),FIND(" ",TRIM(I156))+1)-FIND(" ",TRIM(I156))-1))
      )
    )
  ),
"yyyy-mm-dd")</f>
        <v>2023-08-28</v>
      </c>
      <c r="K156" s="5" t="str">
        <f t="shared" si="20"/>
        <v>Aug</v>
      </c>
      <c r="L156">
        <v>1702020884</v>
      </c>
      <c r="M156" s="11">
        <f t="shared" si="21"/>
        <v>45268.315787037034</v>
      </c>
      <c r="N156">
        <v>469.73</v>
      </c>
      <c r="O156" s="7">
        <f t="shared" si="22"/>
        <v>469.73</v>
      </c>
      <c r="P156" t="s">
        <v>52</v>
      </c>
      <c r="Q156" s="7" t="str">
        <f t="shared" si="23"/>
        <v xml:space="preserve">Prefers email </v>
      </c>
    </row>
    <row r="157" spans="1:17">
      <c r="A157">
        <v>1806</v>
      </c>
      <c r="B157" t="s">
        <v>80</v>
      </c>
      <c r="C157" s="9" t="str">
        <f t="shared" si="16"/>
        <v>Ahmed Hassan</v>
      </c>
      <c r="D157" s="7" t="str">
        <f t="shared" si="17"/>
        <v>Ahmed Hassan</v>
      </c>
      <c r="E157">
        <v>31</v>
      </c>
      <c r="F157" s="7">
        <f t="shared" si="18"/>
        <v>31</v>
      </c>
      <c r="G157" t="s">
        <v>122</v>
      </c>
      <c r="H157" s="7" t="str">
        <f t="shared" si="19"/>
        <v>Italy</v>
      </c>
      <c r="I157" t="s">
        <v>238</v>
      </c>
      <c r="J157" s="7" t="str">
        <f>TEXT(
  IFERROR(
    DATEVALUE(SUBSTITUTE(SUBSTITUTE(TRIM(I157),"T"," "),"Z","")),
    IFERROR(
      DATE(
        RIGHT(TRIM(I157),4),
        MID(TRIM(I157),4,2),
        LEFT(TRIM(I157),2)
      ),
      DATE(
        VALUE(RIGHT(TRIM(I157),4)),
        MATCH(LEFT(TRIM(I157),FIND(" ",TRIM(I157))-1),
          {"January","February","March","April","May","June","July","August","September","October","November","December"},0),
        VALUE(MID(TRIM(I157),
          FIND(" ",TRIM(I157))+1,
          FIND(" ",TRIM(I157),FIND(" ",TRIM(I157))+1)-FIND(" ",TRIM(I157))-1))
      )
    )
  ),
"yyyy-mm-dd")</f>
        <v>2023-01-25</v>
      </c>
      <c r="K157" s="5" t="str">
        <f t="shared" si="20"/>
        <v>Jan</v>
      </c>
      <c r="L157">
        <v>1681964752</v>
      </c>
      <c r="M157" s="11">
        <f t="shared" si="21"/>
        <v>45036.184629629628</v>
      </c>
      <c r="O157" s="7">
        <f t="shared" si="22"/>
        <v>0</v>
      </c>
      <c r="P157" t="s">
        <v>58</v>
      </c>
      <c r="Q157" s="7" t="str">
        <f t="shared" si="23"/>
        <v>Student account</v>
      </c>
    </row>
    <row r="158" spans="1:17">
      <c r="A158">
        <v>2100</v>
      </c>
      <c r="B158" t="s">
        <v>17</v>
      </c>
      <c r="C158" s="9" t="str">
        <f t="shared" si="16"/>
        <v>John Smith</v>
      </c>
      <c r="D158" s="7" t="str">
        <f t="shared" si="17"/>
        <v>John Smith</v>
      </c>
      <c r="F158" s="7">
        <f t="shared" si="18"/>
        <v>43</v>
      </c>
      <c r="G158" t="s">
        <v>122</v>
      </c>
      <c r="H158" s="7" t="str">
        <f t="shared" si="19"/>
        <v>Italy</v>
      </c>
      <c r="I158" t="s">
        <v>239</v>
      </c>
      <c r="J158" s="7" t="str">
        <f>TEXT(
  IFERROR(
    DATEVALUE(SUBSTITUTE(SUBSTITUTE(TRIM(I158),"T"," "),"Z","")),
    IFERROR(
      DATE(
        RIGHT(TRIM(I158),4),
        MID(TRIM(I158),4,2),
        LEFT(TRIM(I158),2)
      ),
      DATE(
        VALUE(RIGHT(TRIM(I158),4)),
        MATCH(LEFT(TRIM(I158),FIND(" ",TRIM(I158))-1),
          {"January","February","March","April","May","June","July","August","September","October","November","December"},0),
        VALUE(MID(TRIM(I158),
          FIND(" ",TRIM(I158))+1,
          FIND(" ",TRIM(I158),FIND(" ",TRIM(I158))+1)-FIND(" ",TRIM(I158))-1))
      )
    )
  ),
"yyyy-mm-dd")</f>
        <v>2023-07-26</v>
      </c>
      <c r="K158" s="5" t="str">
        <f t="shared" si="20"/>
        <v>Jul</v>
      </c>
      <c r="L158">
        <v>1674042082</v>
      </c>
      <c r="M158" s="11">
        <f t="shared" si="21"/>
        <v>44944.487060185187</v>
      </c>
      <c r="N158">
        <v>606.87</v>
      </c>
      <c r="O158" s="7">
        <f t="shared" si="22"/>
        <v>606.87</v>
      </c>
      <c r="P158" t="s">
        <v>84</v>
      </c>
      <c r="Q158" s="7" t="str">
        <f t="shared" si="23"/>
        <v xml:space="preserve">Newsletter subscriber </v>
      </c>
    </row>
    <row r="159" spans="1:17">
      <c r="A159">
        <v>2134</v>
      </c>
      <c r="B159" t="s">
        <v>240</v>
      </c>
      <c r="C159" s="9" t="str">
        <f t="shared" si="16"/>
        <v>Fatima Ali</v>
      </c>
      <c r="D159" s="7" t="str">
        <f t="shared" si="17"/>
        <v xml:space="preserve"> Fatima Ali </v>
      </c>
      <c r="E159">
        <v>46</v>
      </c>
      <c r="F159" s="7">
        <f t="shared" si="18"/>
        <v>46</v>
      </c>
      <c r="G159" t="s">
        <v>54</v>
      </c>
      <c r="H159" s="7" t="str">
        <f t="shared" si="19"/>
        <v>Brazil</v>
      </c>
      <c r="I159" t="s">
        <v>241</v>
      </c>
      <c r="J159" s="7" t="str">
        <f>TEXT(
  IFERROR(
    DATEVALUE(SUBSTITUTE(SUBSTITUTE(TRIM(I159),"T"," "),"Z","")),
    IFERROR(
      DATE(
        RIGHT(TRIM(I159),4),
        MID(TRIM(I159),4,2),
        LEFT(TRIM(I159),2)
      ),
      DATE(
        VALUE(RIGHT(TRIM(I159),4)),
        MATCH(LEFT(TRIM(I159),FIND(" ",TRIM(I159))-1),
          {"January","February","March","April","May","June","July","August","September","October","November","December"},0),
        VALUE(MID(TRIM(I159),
          FIND(" ",TRIM(I159))+1,
          FIND(" ",TRIM(I159),FIND(" ",TRIM(I159))+1)-FIND(" ",TRIM(I159))-1))
      )
    )
  ),
"yyyy-mm-dd")</f>
        <v>2023-11-16</v>
      </c>
      <c r="K159" s="5" t="str">
        <f t="shared" si="20"/>
        <v>Nov</v>
      </c>
      <c r="L159">
        <v>1676510636</v>
      </c>
      <c r="M159" s="11">
        <f t="shared" si="21"/>
        <v>44973.058287037042</v>
      </c>
      <c r="N159">
        <v>201.71</v>
      </c>
      <c r="O159" s="7">
        <f t="shared" si="22"/>
        <v>201.71</v>
      </c>
      <c r="P159" t="s">
        <v>118</v>
      </c>
      <c r="Q159" s="7" t="str">
        <f t="shared" si="23"/>
        <v>High engagement</v>
      </c>
    </row>
    <row r="160" spans="1:17">
      <c r="A160">
        <v>1765</v>
      </c>
      <c r="B160" t="s">
        <v>41</v>
      </c>
      <c r="C160" s="9" t="str">
        <f t="shared" si="16"/>
        <v>Lucas Silva</v>
      </c>
      <c r="D160" s="7" t="str">
        <f t="shared" si="17"/>
        <v>Lucas Silva</v>
      </c>
      <c r="E160">
        <v>41</v>
      </c>
      <c r="F160" s="7">
        <f t="shared" si="18"/>
        <v>41</v>
      </c>
      <c r="G160" t="s">
        <v>67</v>
      </c>
      <c r="H160" s="7" t="str">
        <f t="shared" si="19"/>
        <v>Sweden</v>
      </c>
      <c r="I160" t="s">
        <v>242</v>
      </c>
      <c r="J160" s="7" t="str">
        <f>TEXT(
  IFERROR(
    DATEVALUE(SUBSTITUTE(SUBSTITUTE(TRIM(I160),"T"," "),"Z","")),
    IFERROR(
      DATE(
        RIGHT(TRIM(I160),4),
        MID(TRIM(I160),4,2),
        LEFT(TRIM(I160),2)
      ),
      DATE(
        VALUE(RIGHT(TRIM(I160),4)),
        MATCH(LEFT(TRIM(I160),FIND(" ",TRIM(I160))-1),
          {"January","February","March","April","May","June","July","August","September","October","November","December"},0),
        VALUE(MID(TRIM(I160),
          FIND(" ",TRIM(I160))+1,
          FIND(" ",TRIM(I160),FIND(" ",TRIM(I160))+1)-FIND(" ",TRIM(I160))-1))
      )
    )
  ),
"yyyy-mm-dd")</f>
        <v>2023-07-25</v>
      </c>
      <c r="K160" s="5" t="str">
        <f t="shared" si="20"/>
        <v>Jul</v>
      </c>
      <c r="L160">
        <v>1673874730</v>
      </c>
      <c r="M160" s="11">
        <f t="shared" si="21"/>
        <v>44942.550115740742</v>
      </c>
      <c r="N160">
        <v>77.5</v>
      </c>
      <c r="O160" s="7">
        <f t="shared" si="22"/>
        <v>77.5</v>
      </c>
      <c r="P160" t="s">
        <v>84</v>
      </c>
      <c r="Q160" s="7" t="str">
        <f t="shared" si="23"/>
        <v xml:space="preserve">Newsletter subscriber </v>
      </c>
    </row>
    <row r="161" spans="1:17">
      <c r="A161">
        <v>1971</v>
      </c>
      <c r="B161" t="s">
        <v>80</v>
      </c>
      <c r="C161" s="9" t="str">
        <f t="shared" si="16"/>
        <v>Ahmed Hassan</v>
      </c>
      <c r="D161" s="7" t="str">
        <f t="shared" si="17"/>
        <v>Ahmed Hassan</v>
      </c>
      <c r="E161">
        <v>56</v>
      </c>
      <c r="F161" s="7">
        <f t="shared" si="18"/>
        <v>56</v>
      </c>
      <c r="G161" t="s">
        <v>25</v>
      </c>
      <c r="H161" s="7" t="str">
        <f t="shared" si="19"/>
        <v>Japan</v>
      </c>
      <c r="I161" t="s">
        <v>243</v>
      </c>
      <c r="J161" s="7" t="str">
        <f>TEXT(
  IFERROR(
    DATEVALUE(SUBSTITUTE(SUBSTITUTE(TRIM(I161),"T"," "),"Z","")),
    IFERROR(
      DATE(
        RIGHT(TRIM(I161),4),
        MID(TRIM(I161),4,2),
        LEFT(TRIM(I161),2)
      ),
      DATE(
        VALUE(RIGHT(TRIM(I161),4)),
        MATCH(LEFT(TRIM(I161),FIND(" ",TRIM(I161))-1),
          {"January","February","March","April","May","June","July","August","September","October","November","December"},0),
        VALUE(MID(TRIM(I161),
          FIND(" ",TRIM(I161))+1,
          FIND(" ",TRIM(I161),FIND(" ",TRIM(I161))+1)-FIND(" ",TRIM(I161))-1))
      )
    )
  ),
"yyyy-mm-dd")</f>
        <v>2023-10-11</v>
      </c>
      <c r="K161" s="5" t="str">
        <f t="shared" si="20"/>
        <v>Oct</v>
      </c>
      <c r="L161">
        <v>1677976663</v>
      </c>
      <c r="M161" s="11">
        <f t="shared" si="21"/>
        <v>44990.026192129633</v>
      </c>
      <c r="O161" s="7">
        <f t="shared" si="22"/>
        <v>0</v>
      </c>
      <c r="P161" t="s">
        <v>27</v>
      </c>
      <c r="Q161" s="7" t="str">
        <f t="shared" si="23"/>
        <v xml:space="preserve">Holiday signup </v>
      </c>
    </row>
    <row r="162" spans="1:17">
      <c r="A162">
        <v>1689</v>
      </c>
      <c r="B162" t="s">
        <v>80</v>
      </c>
      <c r="C162" s="9" t="str">
        <f t="shared" si="16"/>
        <v>Ahmed Hassan</v>
      </c>
      <c r="D162" s="7" t="str">
        <f t="shared" si="17"/>
        <v>Ahmed Hassan</v>
      </c>
      <c r="E162">
        <v>49</v>
      </c>
      <c r="F162" s="7">
        <f t="shared" si="18"/>
        <v>49</v>
      </c>
      <c r="G162" t="s">
        <v>102</v>
      </c>
      <c r="H162" s="7" t="str">
        <f t="shared" si="19"/>
        <v>Mexico</v>
      </c>
      <c r="I162" t="s">
        <v>244</v>
      </c>
      <c r="J162" s="7" t="str">
        <f>TEXT(
  IFERROR(
    DATEVALUE(SUBSTITUTE(SUBSTITUTE(TRIM(I162),"T"," "),"Z","")),
    IFERROR(
      DATE(
        RIGHT(TRIM(I162),4),
        MID(TRIM(I162),4,2),
        LEFT(TRIM(I162),2)
      ),
      DATE(
        VALUE(RIGHT(TRIM(I162),4)),
        MATCH(LEFT(TRIM(I162),FIND(" ",TRIM(I162))-1),
          {"January","February","March","April","May","June","July","August","September","October","November","December"},0),
        VALUE(MID(TRIM(I162),
          FIND(" ",TRIM(I162))+1,
          FIND(" ",TRIM(I162),FIND(" ",TRIM(I162))+1)-FIND(" ",TRIM(I162))-1))
      )
    )
  ),
"yyyy-mm-dd")</f>
        <v>2023-09-01</v>
      </c>
      <c r="K162" s="5" t="str">
        <f t="shared" si="20"/>
        <v>Sep</v>
      </c>
      <c r="L162">
        <v>1684884037</v>
      </c>
      <c r="M162" s="11">
        <f t="shared" si="21"/>
        <v>45069.972650462965</v>
      </c>
      <c r="N162">
        <v>503.55</v>
      </c>
      <c r="O162" s="7">
        <f t="shared" si="22"/>
        <v>503.55</v>
      </c>
      <c r="P162" t="s">
        <v>118</v>
      </c>
      <c r="Q162" s="7" t="str">
        <f t="shared" si="23"/>
        <v>High engagement</v>
      </c>
    </row>
    <row r="163" spans="1:17">
      <c r="A163">
        <v>2196</v>
      </c>
      <c r="B163" t="s">
        <v>107</v>
      </c>
      <c r="C163" s="9" t="str">
        <f t="shared" si="16"/>
        <v>Fatima Ali</v>
      </c>
      <c r="D163" s="7" t="str">
        <f t="shared" si="17"/>
        <v>Fatima Ali</v>
      </c>
      <c r="E163">
        <v>62</v>
      </c>
      <c r="F163" s="7">
        <f t="shared" si="18"/>
        <v>62</v>
      </c>
      <c r="G163" t="s">
        <v>29</v>
      </c>
      <c r="H163" s="7" t="str">
        <f t="shared" si="19"/>
        <v>United States</v>
      </c>
      <c r="I163" t="s">
        <v>207</v>
      </c>
      <c r="J163" s="7" t="str">
        <f>TEXT(
  IFERROR(
    DATEVALUE(SUBSTITUTE(SUBSTITUTE(TRIM(I163),"T"," "),"Z","")),
    IFERROR(
      DATE(
        RIGHT(TRIM(I163),4),
        MID(TRIM(I163),4,2),
        LEFT(TRIM(I163),2)
      ),
      DATE(
        VALUE(RIGHT(TRIM(I163),4)),
        MATCH(LEFT(TRIM(I163),FIND(" ",TRIM(I163))-1),
          {"January","February","March","April","May","June","July","August","September","October","November","December"},0),
        VALUE(MID(TRIM(I163),
          FIND(" ",TRIM(I163))+1,
          FIND(" ",TRIM(I163),FIND(" ",TRIM(I163))+1)-FIND(" ",TRIM(I163))-1))
      )
    )
  ),
"yyyy-mm-dd")</f>
        <v>2023-11-02</v>
      </c>
      <c r="K163" s="5" t="str">
        <f t="shared" si="20"/>
        <v>Nov</v>
      </c>
      <c r="L163">
        <v>1681433722</v>
      </c>
      <c r="M163" s="11">
        <f t="shared" si="21"/>
        <v>45030.038449074069</v>
      </c>
      <c r="N163">
        <v>1450.94</v>
      </c>
      <c r="O163" s="7">
        <f t="shared" si="22"/>
        <v>1450.94</v>
      </c>
      <c r="P163" t="s">
        <v>20</v>
      </c>
      <c r="Q163" s="7" t="str">
        <f t="shared" si="23"/>
        <v xml:space="preserve">Great customer </v>
      </c>
    </row>
    <row r="164" spans="1:17">
      <c r="A164">
        <v>1039</v>
      </c>
      <c r="B164" t="s">
        <v>210</v>
      </c>
      <c r="C164" s="9" t="str">
        <f t="shared" si="16"/>
        <v>Ethan Clark</v>
      </c>
      <c r="D164" s="7" t="str">
        <f t="shared" si="17"/>
        <v>Ethan Clark</v>
      </c>
      <c r="E164">
        <v>44</v>
      </c>
      <c r="F164" s="7">
        <f t="shared" si="18"/>
        <v>44</v>
      </c>
      <c r="G164" t="s">
        <v>22</v>
      </c>
      <c r="H164" s="7" t="str">
        <f t="shared" si="19"/>
        <v>Germany</v>
      </c>
      <c r="I164" t="s">
        <v>245</v>
      </c>
      <c r="J164" s="7" t="str">
        <f>TEXT(
  IFERROR(
    DATEVALUE(SUBSTITUTE(SUBSTITUTE(TRIM(I164),"T"," "),"Z","")),
    IFERROR(
      DATE(
        RIGHT(TRIM(I164),4),
        MID(TRIM(I164),4,2),
        LEFT(TRIM(I164),2)
      ),
      DATE(
        VALUE(RIGHT(TRIM(I164),4)),
        MATCH(LEFT(TRIM(I164),FIND(" ",TRIM(I164))-1),
          {"January","February","March","April","May","June","July","August","September","October","November","December"},0),
        VALUE(MID(TRIM(I164),
          FIND(" ",TRIM(I164))+1,
          FIND(" ",TRIM(I164),FIND(" ",TRIM(I164))+1)-FIND(" ",TRIM(I164))-1))
      )
    )
  ),
"yyyy-mm-dd")</f>
        <v>2023-07-30</v>
      </c>
      <c r="K164" s="5" t="str">
        <f t="shared" si="20"/>
        <v>Jul</v>
      </c>
      <c r="L164">
        <v>1698527755</v>
      </c>
      <c r="M164" s="11">
        <f t="shared" si="21"/>
        <v>45227.886053240742</v>
      </c>
      <c r="O164" s="7">
        <f t="shared" si="22"/>
        <v>0</v>
      </c>
      <c r="P164" t="s">
        <v>20</v>
      </c>
      <c r="Q164" s="7" t="str">
        <f t="shared" si="23"/>
        <v xml:space="preserve">Great customer </v>
      </c>
    </row>
    <row r="165" spans="1:17">
      <c r="A165">
        <v>1283</v>
      </c>
      <c r="B165" t="s">
        <v>50</v>
      </c>
      <c r="C165" s="9" t="str">
        <f t="shared" si="16"/>
        <v>Ahmed Hassan</v>
      </c>
      <c r="D165" s="7" t="str">
        <f t="shared" si="17"/>
        <v xml:space="preserve"> Ahmed Hassan </v>
      </c>
      <c r="F165" s="7">
        <f t="shared" si="18"/>
        <v>43</v>
      </c>
      <c r="G165" t="s">
        <v>67</v>
      </c>
      <c r="H165" s="7" t="str">
        <f t="shared" si="19"/>
        <v>Sweden</v>
      </c>
      <c r="I165" t="s">
        <v>246</v>
      </c>
      <c r="J165" s="7" t="str">
        <f>TEXT(
  IFERROR(
    DATEVALUE(SUBSTITUTE(SUBSTITUTE(TRIM(I165),"T"," "),"Z","")),
    IFERROR(
      DATE(
        RIGHT(TRIM(I165),4),
        MID(TRIM(I165),4,2),
        LEFT(TRIM(I165),2)
      ),
      DATE(
        VALUE(RIGHT(TRIM(I165),4)),
        MATCH(LEFT(TRIM(I165),FIND(" ",TRIM(I165))-1),
          {"January","February","March","April","May","June","July","August","September","October","November","December"},0),
        VALUE(MID(TRIM(I165),
          FIND(" ",TRIM(I165))+1,
          FIND(" ",TRIM(I165),FIND(" ",TRIM(I165))+1)-FIND(" ",TRIM(I165))-1))
      )
    )
  ),
"yyyy-mm-dd")</f>
        <v>2023-12-07</v>
      </c>
      <c r="K165" s="5" t="str">
        <f t="shared" si="20"/>
        <v>Dec</v>
      </c>
      <c r="L165">
        <v>1678335037</v>
      </c>
      <c r="M165" s="11">
        <f t="shared" si="21"/>
        <v>44994.174039351856</v>
      </c>
      <c r="O165" s="7">
        <f t="shared" si="22"/>
        <v>0</v>
      </c>
      <c r="P165" t="s">
        <v>46</v>
      </c>
      <c r="Q165" s="7" t="str">
        <f t="shared" si="23"/>
        <v>Corporate account</v>
      </c>
    </row>
    <row r="166" spans="1:17">
      <c r="A166">
        <v>1726</v>
      </c>
      <c r="B166" t="s">
        <v>101</v>
      </c>
      <c r="C166" s="9" t="str">
        <f t="shared" si="16"/>
        <v>Zoë Kravitz</v>
      </c>
      <c r="D166" s="7" t="str">
        <f t="shared" si="17"/>
        <v>Zoë Kravitz</v>
      </c>
      <c r="E166">
        <v>61</v>
      </c>
      <c r="F166" s="7">
        <f t="shared" si="18"/>
        <v>61</v>
      </c>
      <c r="G166" t="s">
        <v>54</v>
      </c>
      <c r="H166" s="7" t="str">
        <f t="shared" si="19"/>
        <v>Brazil</v>
      </c>
      <c r="I166" t="s">
        <v>247</v>
      </c>
      <c r="J166" s="7" t="str">
        <f>TEXT(
  IFERROR(
    DATEVALUE(SUBSTITUTE(SUBSTITUTE(TRIM(I166),"T"," "),"Z","")),
    IFERROR(
      DATE(
        RIGHT(TRIM(I166),4),
        MID(TRIM(I166),4,2),
        LEFT(TRIM(I166),2)
      ),
      DATE(
        VALUE(RIGHT(TRIM(I166),4)),
        MATCH(LEFT(TRIM(I166),FIND(" ",TRIM(I166))-1),
          {"January","February","March","April","May","June","July","August","September","October","November","December"},0),
        VALUE(MID(TRIM(I166),
          FIND(" ",TRIM(I166))+1,
          FIND(" ",TRIM(I166),FIND(" ",TRIM(I166))+1)-FIND(" ",TRIM(I166))-1))
      )
    )
  ),
"yyyy-mm-dd")</f>
        <v>2023-11-09</v>
      </c>
      <c r="K166" s="5" t="str">
        <f t="shared" si="20"/>
        <v>Nov</v>
      </c>
      <c r="L166">
        <v>1678975314</v>
      </c>
      <c r="M166" s="11">
        <f t="shared" si="21"/>
        <v>45001.584652777776</v>
      </c>
      <c r="O166" s="7">
        <f t="shared" si="22"/>
        <v>0</v>
      </c>
      <c r="P166" t="s">
        <v>46</v>
      </c>
      <c r="Q166" s="7" t="str">
        <f t="shared" si="23"/>
        <v>Corporate account</v>
      </c>
    </row>
    <row r="167" spans="1:17">
      <c r="A167">
        <v>1612</v>
      </c>
      <c r="B167" t="s">
        <v>72</v>
      </c>
      <c r="C167" s="9" t="str">
        <f t="shared" si="16"/>
        <v>Emily Davis</v>
      </c>
      <c r="D167" s="7" t="str">
        <f t="shared" si="17"/>
        <v>Emily Davis</v>
      </c>
      <c r="E167">
        <v>36</v>
      </c>
      <c r="F167" s="7">
        <f t="shared" si="18"/>
        <v>36</v>
      </c>
      <c r="G167" t="s">
        <v>22</v>
      </c>
      <c r="H167" s="7" t="str">
        <f t="shared" si="19"/>
        <v>Germany</v>
      </c>
      <c r="I167" t="s">
        <v>248</v>
      </c>
      <c r="J167" s="7" t="str">
        <f>TEXT(
  IFERROR(
    DATEVALUE(SUBSTITUTE(SUBSTITUTE(TRIM(I167),"T"," "),"Z","")),
    IFERROR(
      DATE(
        RIGHT(TRIM(I167),4),
        MID(TRIM(I167),4,2),
        LEFT(TRIM(I167),2)
      ),
      DATE(
        VALUE(RIGHT(TRIM(I167),4)),
        MATCH(LEFT(TRIM(I167),FIND(" ",TRIM(I167))-1),
          {"January","February","March","April","May","June","July","August","September","October","November","December"},0),
        VALUE(MID(TRIM(I167),
          FIND(" ",TRIM(I167))+1,
          FIND(" ",TRIM(I167),FIND(" ",TRIM(I167))+1)-FIND(" ",TRIM(I167))-1))
      )
    )
  ),
"yyyy-mm-dd")</f>
        <v>2023-12-20</v>
      </c>
      <c r="K167" s="5" t="str">
        <f t="shared" si="20"/>
        <v>Dec</v>
      </c>
      <c r="L167">
        <v>1683162122</v>
      </c>
      <c r="M167" s="11">
        <f t="shared" si="21"/>
        <v>45050.043078703704</v>
      </c>
      <c r="O167" s="7">
        <f t="shared" si="22"/>
        <v>0</v>
      </c>
      <c r="P167" t="s">
        <v>58</v>
      </c>
      <c r="Q167" s="7" t="str">
        <f t="shared" si="23"/>
        <v>Student account</v>
      </c>
    </row>
    <row r="168" spans="1:17">
      <c r="A168">
        <v>1250</v>
      </c>
      <c r="B168" t="s">
        <v>166</v>
      </c>
      <c r="C168" s="9" t="str">
        <f t="shared" si="16"/>
        <v>Daniel Kim</v>
      </c>
      <c r="D168" s="7" t="str">
        <f t="shared" si="17"/>
        <v>Daniel Kim</v>
      </c>
      <c r="F168" s="7">
        <f t="shared" si="18"/>
        <v>43</v>
      </c>
      <c r="G168" t="s">
        <v>18</v>
      </c>
      <c r="H168" s="7" t="str">
        <f t="shared" si="19"/>
        <v>United Kingdom</v>
      </c>
      <c r="I168" t="s">
        <v>249</v>
      </c>
      <c r="J168" s="7" t="str">
        <f>TEXT(
  IFERROR(
    DATEVALUE(SUBSTITUTE(SUBSTITUTE(TRIM(I168),"T"," "),"Z","")),
    IFERROR(
      DATE(
        RIGHT(TRIM(I168),4),
        MID(TRIM(I168),4,2),
        LEFT(TRIM(I168),2)
      ),
      DATE(
        VALUE(RIGHT(TRIM(I168),4)),
        MATCH(LEFT(TRIM(I168),FIND(" ",TRIM(I168))-1),
          {"January","February","March","April","May","June","July","August","September","October","November","December"},0),
        VALUE(MID(TRIM(I168),
          FIND(" ",TRIM(I168))+1,
          FIND(" ",TRIM(I168),FIND(" ",TRIM(I168))+1)-FIND(" ",TRIM(I168))-1))
      )
    )
  ),
"yyyy-mm-dd")</f>
        <v>2023-05-29</v>
      </c>
      <c r="K168" s="5" t="str">
        <f t="shared" si="20"/>
        <v>May</v>
      </c>
      <c r="L168">
        <v>1682175272</v>
      </c>
      <c r="M168" s="11">
        <f t="shared" si="21"/>
        <v>45038.621203703704</v>
      </c>
      <c r="N168">
        <v>1433.42</v>
      </c>
      <c r="O168" s="7">
        <f t="shared" si="22"/>
        <v>1433.42</v>
      </c>
      <c r="P168" t="s">
        <v>84</v>
      </c>
      <c r="Q168" s="7" t="str">
        <f t="shared" si="23"/>
        <v xml:space="preserve">Newsletter subscriber </v>
      </c>
    </row>
    <row r="169" spans="1:17">
      <c r="A169">
        <v>1906</v>
      </c>
      <c r="B169" t="s">
        <v>114</v>
      </c>
      <c r="C169" s="9" t="str">
        <f t="shared" si="16"/>
        <v>Liam O’Connor</v>
      </c>
      <c r="D169" s="7" t="str">
        <f t="shared" si="17"/>
        <v xml:space="preserve"> Liam O’Connor </v>
      </c>
      <c r="E169">
        <v>48</v>
      </c>
      <c r="F169" s="7">
        <f t="shared" si="18"/>
        <v>48</v>
      </c>
      <c r="G169" t="s">
        <v>62</v>
      </c>
      <c r="H169" s="7" t="str">
        <f t="shared" si="19"/>
        <v>Ireland</v>
      </c>
      <c r="I169" t="s">
        <v>250</v>
      </c>
      <c r="J169" s="7" t="str">
        <f>TEXT(
  IFERROR(
    DATEVALUE(SUBSTITUTE(SUBSTITUTE(TRIM(I169),"T"," "),"Z","")),
    IFERROR(
      DATE(
        RIGHT(TRIM(I169),4),
        MID(TRIM(I169),4,2),
        LEFT(TRIM(I169),2)
      ),
      DATE(
        VALUE(RIGHT(TRIM(I169),4)),
        MATCH(LEFT(TRIM(I169),FIND(" ",TRIM(I169))-1),
          {"January","February","March","April","May","June","July","August","September","October","November","December"},0),
        VALUE(MID(TRIM(I169),
          FIND(" ",TRIM(I169))+1,
          FIND(" ",TRIM(I169),FIND(" ",TRIM(I169))+1)-FIND(" ",TRIM(I169))-1))
      )
    )
  ),
"yyyy-mm-dd")</f>
        <v>2023-05-19</v>
      </c>
      <c r="K169" s="5" t="str">
        <f t="shared" si="20"/>
        <v>May</v>
      </c>
      <c r="L169">
        <v>1695883632</v>
      </c>
      <c r="M169" s="11">
        <f t="shared" si="21"/>
        <v>45197.282777777778</v>
      </c>
      <c r="N169">
        <v>414.72</v>
      </c>
      <c r="O169" s="7">
        <f t="shared" si="22"/>
        <v>414.72</v>
      </c>
      <c r="P169" t="s">
        <v>27</v>
      </c>
      <c r="Q169" s="7" t="str">
        <f t="shared" si="23"/>
        <v xml:space="preserve">Holiday signup </v>
      </c>
    </row>
    <row r="170" spans="1:17">
      <c r="A170">
        <v>1122</v>
      </c>
      <c r="B170" t="s">
        <v>97</v>
      </c>
      <c r="C170" s="9" t="str">
        <f t="shared" si="16"/>
        <v>Björn Larsson</v>
      </c>
      <c r="D170" s="7" t="str">
        <f t="shared" si="17"/>
        <v xml:space="preserve"> Björn Larsson </v>
      </c>
      <c r="E170">
        <v>32</v>
      </c>
      <c r="F170" s="7">
        <f t="shared" si="18"/>
        <v>32</v>
      </c>
      <c r="G170" t="s">
        <v>29</v>
      </c>
      <c r="H170" s="7" t="str">
        <f t="shared" si="19"/>
        <v>United States</v>
      </c>
      <c r="I170" t="s">
        <v>251</v>
      </c>
      <c r="J170" s="7" t="str">
        <f>TEXT(
  IFERROR(
    DATEVALUE(SUBSTITUTE(SUBSTITUTE(TRIM(I170),"T"," "),"Z","")),
    IFERROR(
      DATE(
        RIGHT(TRIM(I170),4),
        MID(TRIM(I170),4,2),
        LEFT(TRIM(I170),2)
      ),
      DATE(
        VALUE(RIGHT(TRIM(I170),4)),
        MATCH(LEFT(TRIM(I170),FIND(" ",TRIM(I170))-1),
          {"January","February","March","April","May","June","July","August","September","October","November","December"},0),
        VALUE(MID(TRIM(I170),
          FIND(" ",TRIM(I170))+1,
          FIND(" ",TRIM(I170),FIND(" ",TRIM(I170))+1)-FIND(" ",TRIM(I170))-1))
      )
    )
  ),
"yyyy-mm-dd")</f>
        <v>2023-03-31</v>
      </c>
      <c r="K170" s="5" t="str">
        <f t="shared" si="20"/>
        <v>Mar</v>
      </c>
      <c r="L170">
        <v>1702127228</v>
      </c>
      <c r="M170" s="11">
        <f t="shared" si="21"/>
        <v>45269.546620370369</v>
      </c>
      <c r="N170">
        <v>1258.03</v>
      </c>
      <c r="O170" s="7">
        <f t="shared" si="22"/>
        <v>1258.03</v>
      </c>
      <c r="P170" t="s">
        <v>118</v>
      </c>
      <c r="Q170" s="7" t="str">
        <f t="shared" si="23"/>
        <v>High engagement</v>
      </c>
    </row>
    <row r="171" spans="1:17">
      <c r="A171">
        <v>2015</v>
      </c>
      <c r="B171" t="s">
        <v>124</v>
      </c>
      <c r="C171" s="9" t="str">
        <f t="shared" si="16"/>
        <v>Sarah Johnson</v>
      </c>
      <c r="D171" s="7" t="str">
        <f t="shared" si="17"/>
        <v>Sarah Johnson</v>
      </c>
      <c r="E171">
        <v>36</v>
      </c>
      <c r="F171" s="7">
        <f t="shared" si="18"/>
        <v>36</v>
      </c>
      <c r="G171" t="s">
        <v>102</v>
      </c>
      <c r="H171" s="7" t="str">
        <f t="shared" si="19"/>
        <v>Mexico</v>
      </c>
      <c r="I171" t="s">
        <v>252</v>
      </c>
      <c r="J171" s="7" t="str">
        <f>TEXT(
  IFERROR(
    DATEVALUE(SUBSTITUTE(SUBSTITUTE(TRIM(I171),"T"," "),"Z","")),
    IFERROR(
      DATE(
        RIGHT(TRIM(I171),4),
        MID(TRIM(I171),4,2),
        LEFT(TRIM(I171),2)
      ),
      DATE(
        VALUE(RIGHT(TRIM(I171),4)),
        MATCH(LEFT(TRIM(I171),FIND(" ",TRIM(I171))-1),
          {"January","February","March","April","May","June","July","August","September","October","November","December"},0),
        VALUE(MID(TRIM(I171),
          FIND(" ",TRIM(I171))+1,
          FIND(" ",TRIM(I171),FIND(" ",TRIM(I171))+1)-FIND(" ",TRIM(I171))-1))
      )
    )
  ),
"yyyy-mm-dd")</f>
        <v>2023-10-18</v>
      </c>
      <c r="K171" s="5" t="str">
        <f t="shared" si="20"/>
        <v>Oct</v>
      </c>
      <c r="L171">
        <v>1676124413</v>
      </c>
      <c r="M171" s="11">
        <f t="shared" si="21"/>
        <v>44968.588113425925</v>
      </c>
      <c r="O171" s="7">
        <f t="shared" si="22"/>
        <v>0</v>
      </c>
      <c r="P171" t="s">
        <v>58</v>
      </c>
      <c r="Q171" s="7" t="str">
        <f t="shared" si="23"/>
        <v>Student account</v>
      </c>
    </row>
    <row r="172" spans="1:17">
      <c r="A172">
        <v>1931</v>
      </c>
      <c r="B172" t="s">
        <v>185</v>
      </c>
      <c r="C172" s="9" t="str">
        <f t="shared" si="16"/>
        <v>Liam O’Connor</v>
      </c>
      <c r="D172" s="7" t="str">
        <f t="shared" si="17"/>
        <v>Liam O’Connor</v>
      </c>
      <c r="E172">
        <v>26</v>
      </c>
      <c r="F172" s="7">
        <f t="shared" si="18"/>
        <v>26</v>
      </c>
      <c r="G172" t="s">
        <v>111</v>
      </c>
      <c r="H172" s="7" t="str">
        <f t="shared" si="19"/>
        <v>South Korea</v>
      </c>
      <c r="I172" t="s">
        <v>253</v>
      </c>
      <c r="J172" s="7" t="str">
        <f>TEXT(
  IFERROR(
    DATEVALUE(SUBSTITUTE(SUBSTITUTE(TRIM(I172),"T"," "),"Z","")),
    IFERROR(
      DATE(
        RIGHT(TRIM(I172),4),
        MID(TRIM(I172),4,2),
        LEFT(TRIM(I172),2)
      ),
      DATE(
        VALUE(RIGHT(TRIM(I172),4)),
        MATCH(LEFT(TRIM(I172),FIND(" ",TRIM(I172))-1),
          {"January","February","March","April","May","June","July","August","September","October","November","December"},0),
        VALUE(MID(TRIM(I172),
          FIND(" ",TRIM(I172))+1,
          FIND(" ",TRIM(I172),FIND(" ",TRIM(I172))+1)-FIND(" ",TRIM(I172))-1))
      )
    )
  ),
"yyyy-mm-dd")</f>
        <v>2023-05-20</v>
      </c>
      <c r="K172" s="5" t="str">
        <f t="shared" si="20"/>
        <v>May</v>
      </c>
      <c r="L172">
        <v>1699663290</v>
      </c>
      <c r="M172" s="11">
        <f t="shared" si="21"/>
        <v>45241.028819444444</v>
      </c>
      <c r="N172">
        <v>177.84</v>
      </c>
      <c r="O172" s="7">
        <f t="shared" si="22"/>
        <v>177.84</v>
      </c>
      <c r="P172" t="s">
        <v>36</v>
      </c>
      <c r="Q172" s="7" t="str">
        <f t="shared" si="23"/>
        <v>Regular shopper</v>
      </c>
    </row>
    <row r="173" spans="1:17">
      <c r="A173">
        <v>1527</v>
      </c>
      <c r="B173" t="s">
        <v>31</v>
      </c>
      <c r="C173" s="9" t="str">
        <f t="shared" si="16"/>
        <v>Renée Dupont</v>
      </c>
      <c r="D173" s="7" t="str">
        <f t="shared" si="17"/>
        <v xml:space="preserve"> Renée Dupont </v>
      </c>
      <c r="F173" s="7">
        <f t="shared" si="18"/>
        <v>43</v>
      </c>
      <c r="G173" t="s">
        <v>22</v>
      </c>
      <c r="H173" s="7" t="str">
        <f t="shared" si="19"/>
        <v>Germany</v>
      </c>
      <c r="I173" t="s">
        <v>254</v>
      </c>
      <c r="J173" s="7" t="str">
        <f>TEXT(
  IFERROR(
    DATEVALUE(SUBSTITUTE(SUBSTITUTE(TRIM(I173),"T"," "),"Z","")),
    IFERROR(
      DATE(
        RIGHT(TRIM(I173),4),
        MID(TRIM(I173),4,2),
        LEFT(TRIM(I173),2)
      ),
      DATE(
        VALUE(RIGHT(TRIM(I173),4)),
        MATCH(LEFT(TRIM(I173),FIND(" ",TRIM(I173))-1),
          {"January","February","March","April","May","June","July","August","September","October","November","December"},0),
        VALUE(MID(TRIM(I173),
          FIND(" ",TRIM(I173))+1,
          FIND(" ",TRIM(I173),FIND(" ",TRIM(I173))+1)-FIND(" ",TRIM(I173))-1))
      )
    )
  ),
"yyyy-mm-dd")</f>
        <v>2023-03-31</v>
      </c>
      <c r="K173" s="5" t="str">
        <f t="shared" si="20"/>
        <v>Mar</v>
      </c>
      <c r="L173">
        <v>1701251509</v>
      </c>
      <c r="M173" s="11">
        <f t="shared" si="21"/>
        <v>45259.410983796297</v>
      </c>
      <c r="O173" s="7">
        <f t="shared" si="22"/>
        <v>0</v>
      </c>
      <c r="P173" t="s">
        <v>118</v>
      </c>
      <c r="Q173" s="7" t="str">
        <f t="shared" si="23"/>
        <v>High engagement</v>
      </c>
    </row>
    <row r="174" spans="1:17">
      <c r="A174">
        <v>2056</v>
      </c>
      <c r="B174" t="s">
        <v>195</v>
      </c>
      <c r="C174" s="9" t="str">
        <f t="shared" si="16"/>
        <v>Lucas Silva</v>
      </c>
      <c r="D174" s="7" t="str">
        <f t="shared" si="17"/>
        <v xml:space="preserve"> Lucas Silva </v>
      </c>
      <c r="E174">
        <v>60</v>
      </c>
      <c r="F174" s="7">
        <f t="shared" si="18"/>
        <v>60</v>
      </c>
      <c r="G174" t="s">
        <v>18</v>
      </c>
      <c r="H174" s="7" t="str">
        <f t="shared" si="19"/>
        <v>United Kingdom</v>
      </c>
      <c r="I174" t="s">
        <v>255</v>
      </c>
      <c r="J174" s="7" t="str">
        <f>TEXT(
  IFERROR(
    DATEVALUE(SUBSTITUTE(SUBSTITUTE(TRIM(I174),"T"," "),"Z","")),
    IFERROR(
      DATE(
        RIGHT(TRIM(I174),4),
        MID(TRIM(I174),4,2),
        LEFT(TRIM(I174),2)
      ),
      DATE(
        VALUE(RIGHT(TRIM(I174),4)),
        MATCH(LEFT(TRIM(I174),FIND(" ",TRIM(I174))-1),
          {"January","February","March","April","May","June","July","August","September","October","November","December"},0),
        VALUE(MID(TRIM(I174),
          FIND(" ",TRIM(I174))+1,
          FIND(" ",TRIM(I174),FIND(" ",TRIM(I174))+1)-FIND(" ",TRIM(I174))-1))
      )
    )
  ),
"yyyy-mm-dd")</f>
        <v>2023-02-09</v>
      </c>
      <c r="K174" s="5" t="str">
        <f t="shared" si="20"/>
        <v>Feb</v>
      </c>
      <c r="L174">
        <v>1703925089</v>
      </c>
      <c r="M174" s="11">
        <f t="shared" si="21"/>
        <v>45290.355196759258</v>
      </c>
      <c r="O174" s="7">
        <f t="shared" si="22"/>
        <v>0</v>
      </c>
      <c r="P174" t="s">
        <v>118</v>
      </c>
      <c r="Q174" s="7" t="str">
        <f t="shared" si="23"/>
        <v>High engagement</v>
      </c>
    </row>
    <row r="175" spans="1:17">
      <c r="A175">
        <v>1483</v>
      </c>
      <c r="B175" t="s">
        <v>210</v>
      </c>
      <c r="C175" s="9" t="str">
        <f t="shared" si="16"/>
        <v>Ethan Clark</v>
      </c>
      <c r="D175" s="7" t="str">
        <f t="shared" si="17"/>
        <v>Ethan Clark</v>
      </c>
      <c r="E175">
        <v>37</v>
      </c>
      <c r="F175" s="7">
        <f t="shared" si="18"/>
        <v>37</v>
      </c>
      <c r="G175" t="s">
        <v>29</v>
      </c>
      <c r="H175" s="7" t="str">
        <f t="shared" si="19"/>
        <v>United States</v>
      </c>
      <c r="I175" t="s">
        <v>256</v>
      </c>
      <c r="J175" s="7" t="str">
        <f>TEXT(
  IFERROR(
    DATEVALUE(SUBSTITUTE(SUBSTITUTE(TRIM(I175),"T"," "),"Z","")),
    IFERROR(
      DATE(
        RIGHT(TRIM(I175),4),
        MID(TRIM(I175),4,2),
        LEFT(TRIM(I175),2)
      ),
      DATE(
        VALUE(RIGHT(TRIM(I175),4)),
        MATCH(LEFT(TRIM(I175),FIND(" ",TRIM(I175))-1),
          {"January","February","March","April","May","June","July","August","September","October","November","December"},0),
        VALUE(MID(TRIM(I175),
          FIND(" ",TRIM(I175))+1,
          FIND(" ",TRIM(I175),FIND(" ",TRIM(I175))+1)-FIND(" ",TRIM(I175))-1))
      )
    )
  ),
"yyyy-mm-dd")</f>
        <v>2023-05-14</v>
      </c>
      <c r="K175" s="5" t="str">
        <f t="shared" si="20"/>
        <v>May</v>
      </c>
      <c r="L175">
        <v>1695769456</v>
      </c>
      <c r="M175" s="11">
        <f t="shared" si="21"/>
        <v>45195.9612962963</v>
      </c>
      <c r="N175">
        <v>362.09</v>
      </c>
      <c r="O175" s="7">
        <f t="shared" si="22"/>
        <v>362.09</v>
      </c>
      <c r="P175" t="s">
        <v>36</v>
      </c>
      <c r="Q175" s="7" t="str">
        <f t="shared" si="23"/>
        <v>Regular shopper</v>
      </c>
    </row>
    <row r="176" spans="1:17">
      <c r="A176">
        <v>1629</v>
      </c>
      <c r="B176" t="s">
        <v>124</v>
      </c>
      <c r="C176" s="9" t="str">
        <f t="shared" si="16"/>
        <v>Sarah Johnson</v>
      </c>
      <c r="D176" s="7" t="str">
        <f t="shared" si="17"/>
        <v>Sarah Johnson</v>
      </c>
      <c r="F176" s="7">
        <f t="shared" si="18"/>
        <v>43</v>
      </c>
      <c r="G176" t="s">
        <v>18</v>
      </c>
      <c r="H176" s="7" t="str">
        <f t="shared" si="19"/>
        <v>United Kingdom</v>
      </c>
      <c r="I176" t="s">
        <v>257</v>
      </c>
      <c r="J176" s="7" t="str">
        <f>TEXT(
  IFERROR(
    DATEVALUE(SUBSTITUTE(SUBSTITUTE(TRIM(I176),"T"," "),"Z","")),
    IFERROR(
      DATE(
        RIGHT(TRIM(I176),4),
        MID(TRIM(I176),4,2),
        LEFT(TRIM(I176),2)
      ),
      DATE(
        VALUE(RIGHT(TRIM(I176),4)),
        MATCH(LEFT(TRIM(I176),FIND(" ",TRIM(I176))-1),
          {"January","February","March","April","May","June","July","August","September","October","November","December"},0),
        VALUE(MID(TRIM(I176),
          FIND(" ",TRIM(I176))+1,
          FIND(" ",TRIM(I176),FIND(" ",TRIM(I176))+1)-FIND(" ",TRIM(I176))-1))
      )
    )
  ),
"yyyy-mm-dd")</f>
        <v>2023-11-24</v>
      </c>
      <c r="K176" s="5" t="str">
        <f t="shared" si="20"/>
        <v>Nov</v>
      </c>
      <c r="L176">
        <v>1684856726</v>
      </c>
      <c r="M176" s="11">
        <f t="shared" si="21"/>
        <v>45069.656550925924</v>
      </c>
      <c r="N176">
        <v>925.79</v>
      </c>
      <c r="O176" s="7">
        <f t="shared" si="22"/>
        <v>925.79</v>
      </c>
      <c r="P176" t="s">
        <v>33</v>
      </c>
      <c r="Q176" s="7" t="str">
        <f t="shared" si="23"/>
        <v>Frequent buyer n</v>
      </c>
    </row>
    <row r="177" spans="1:17">
      <c r="A177">
        <v>1980</v>
      </c>
      <c r="B177" t="s">
        <v>56</v>
      </c>
      <c r="C177" s="9" t="str">
        <f t="shared" si="16"/>
        <v>Carlos García</v>
      </c>
      <c r="D177" s="7" t="str">
        <f t="shared" si="17"/>
        <v>Carlos García</v>
      </c>
      <c r="F177" s="7">
        <f t="shared" si="18"/>
        <v>43</v>
      </c>
      <c r="G177" t="s">
        <v>62</v>
      </c>
      <c r="H177" s="7" t="str">
        <f t="shared" si="19"/>
        <v>Ireland</v>
      </c>
      <c r="I177" t="s">
        <v>258</v>
      </c>
      <c r="J177" s="7" t="str">
        <f>TEXT(
  IFERROR(
    DATEVALUE(SUBSTITUTE(SUBSTITUTE(TRIM(I177),"T"," "),"Z","")),
    IFERROR(
      DATE(
        RIGHT(TRIM(I177),4),
        MID(TRIM(I177),4,2),
        LEFT(TRIM(I177),2)
      ),
      DATE(
        VALUE(RIGHT(TRIM(I177),4)),
        MATCH(LEFT(TRIM(I177),FIND(" ",TRIM(I177))-1),
          {"January","February","March","April","May","June","July","August","September","October","November","December"},0),
        VALUE(MID(TRIM(I177),
          FIND(" ",TRIM(I177))+1,
          FIND(" ",TRIM(I177),FIND(" ",TRIM(I177))+1)-FIND(" ",TRIM(I177))-1))
      )
    )
  ),
"yyyy-mm-dd")</f>
        <v>2023-08-30</v>
      </c>
      <c r="K177" s="5" t="str">
        <f t="shared" si="20"/>
        <v>Aug</v>
      </c>
      <c r="L177">
        <v>1699434486</v>
      </c>
      <c r="M177" s="11">
        <f t="shared" si="21"/>
        <v>45238.380625000005</v>
      </c>
      <c r="N177">
        <v>999.5</v>
      </c>
      <c r="O177" s="7">
        <f t="shared" si="22"/>
        <v>999.5</v>
      </c>
      <c r="P177" t="s">
        <v>40</v>
      </c>
      <c r="Q177" s="7" t="str">
        <f t="shared" si="23"/>
        <v xml:space="preserve">VIP client </v>
      </c>
    </row>
    <row r="178" spans="1:17">
      <c r="A178">
        <v>1168</v>
      </c>
      <c r="B178" t="s">
        <v>80</v>
      </c>
      <c r="C178" s="9" t="str">
        <f t="shared" si="16"/>
        <v>Ahmed Hassan</v>
      </c>
      <c r="D178" s="7" t="str">
        <f t="shared" si="17"/>
        <v>Ahmed Hassan</v>
      </c>
      <c r="E178">
        <v>63</v>
      </c>
      <c r="F178" s="7">
        <f t="shared" si="18"/>
        <v>63</v>
      </c>
      <c r="G178" t="s">
        <v>18</v>
      </c>
      <c r="H178" s="7" t="str">
        <f t="shared" si="19"/>
        <v>United Kingdom</v>
      </c>
      <c r="I178" t="s">
        <v>259</v>
      </c>
      <c r="J178" s="7" t="str">
        <f>TEXT(
  IFERROR(
    DATEVALUE(SUBSTITUTE(SUBSTITUTE(TRIM(I178),"T"," "),"Z","")),
    IFERROR(
      DATE(
        RIGHT(TRIM(I178),4),
        MID(TRIM(I178),4,2),
        LEFT(TRIM(I178),2)
      ),
      DATE(
        VALUE(RIGHT(TRIM(I178),4)),
        MATCH(LEFT(TRIM(I178),FIND(" ",TRIM(I178))-1),
          {"January","February","March","April","May","June","July","August","September","October","November","December"},0),
        VALUE(MID(TRIM(I178),
          FIND(" ",TRIM(I178))+1,
          FIND(" ",TRIM(I178),FIND(" ",TRIM(I178))+1)-FIND(" ",TRIM(I178))-1))
      )
    )
  ),
"yyyy-mm-dd")</f>
        <v>2023-02-01</v>
      </c>
      <c r="K178" s="5" t="str">
        <f t="shared" si="20"/>
        <v>Feb</v>
      </c>
      <c r="L178">
        <v>1702819899</v>
      </c>
      <c r="M178" s="11">
        <f t="shared" si="21"/>
        <v>45277.563645833332</v>
      </c>
      <c r="N178">
        <v>763.18</v>
      </c>
      <c r="O178" s="7">
        <f t="shared" si="22"/>
        <v>763.18</v>
      </c>
      <c r="P178" t="s">
        <v>33</v>
      </c>
      <c r="Q178" s="7" t="str">
        <f t="shared" si="23"/>
        <v>Frequent buyer n</v>
      </c>
    </row>
    <row r="179" spans="1:17">
      <c r="A179">
        <v>1150</v>
      </c>
      <c r="B179" t="s">
        <v>28</v>
      </c>
      <c r="C179" s="9" t="str">
        <f t="shared" si="16"/>
        <v>Maria Lopez</v>
      </c>
      <c r="D179" s="7" t="str">
        <f t="shared" si="17"/>
        <v>Maria Lopez</v>
      </c>
      <c r="E179">
        <v>22</v>
      </c>
      <c r="F179" s="7">
        <f t="shared" si="18"/>
        <v>22</v>
      </c>
      <c r="G179" t="s">
        <v>29</v>
      </c>
      <c r="H179" s="7" t="str">
        <f t="shared" si="19"/>
        <v>United States</v>
      </c>
      <c r="I179" t="s">
        <v>260</v>
      </c>
      <c r="J179" s="7" t="str">
        <f>TEXT(
  IFERROR(
    DATEVALUE(SUBSTITUTE(SUBSTITUTE(TRIM(I179),"T"," "),"Z","")),
    IFERROR(
      DATE(
        RIGHT(TRIM(I179),4),
        MID(TRIM(I179),4,2),
        LEFT(TRIM(I179),2)
      ),
      DATE(
        VALUE(RIGHT(TRIM(I179),4)),
        MATCH(LEFT(TRIM(I179),FIND(" ",TRIM(I179))-1),
          {"January","February","March","April","May","June","July","August","September","October","November","December"},0),
        VALUE(MID(TRIM(I179),
          FIND(" ",TRIM(I179))+1,
          FIND(" ",TRIM(I179),FIND(" ",TRIM(I179))+1)-FIND(" ",TRIM(I179))-1))
      )
    )
  ),
"yyyy-mm-dd")</f>
        <v>2023-02-05</v>
      </c>
      <c r="K179" s="5" t="str">
        <f t="shared" si="20"/>
        <v>Feb</v>
      </c>
      <c r="L179">
        <v>1673588845</v>
      </c>
      <c r="M179" s="11">
        <f t="shared" si="21"/>
        <v>44939.241261574076</v>
      </c>
      <c r="N179">
        <v>437.77</v>
      </c>
      <c r="O179" s="7">
        <f t="shared" si="22"/>
        <v>437.77</v>
      </c>
      <c r="P179" t="s">
        <v>33</v>
      </c>
      <c r="Q179" s="7" t="str">
        <f t="shared" si="23"/>
        <v>Frequent buyer n</v>
      </c>
    </row>
    <row r="180" spans="1:17">
      <c r="A180">
        <v>1861</v>
      </c>
      <c r="B180" t="s">
        <v>90</v>
      </c>
      <c r="C180" s="9" t="str">
        <f t="shared" si="16"/>
        <v>Olivia Wilson</v>
      </c>
      <c r="D180" s="7" t="str">
        <f t="shared" si="17"/>
        <v>Olivia Wilson</v>
      </c>
      <c r="F180" s="7">
        <f t="shared" si="18"/>
        <v>43</v>
      </c>
      <c r="G180" t="s">
        <v>116</v>
      </c>
      <c r="H180" s="7" t="str">
        <f t="shared" si="19"/>
        <v>China</v>
      </c>
      <c r="I180" t="s">
        <v>261</v>
      </c>
      <c r="J180" s="7" t="str">
        <f>TEXT(
  IFERROR(
    DATEVALUE(SUBSTITUTE(SUBSTITUTE(TRIM(I180),"T"," "),"Z","")),
    IFERROR(
      DATE(
        RIGHT(TRIM(I180),4),
        MID(TRIM(I180),4,2),
        LEFT(TRIM(I180),2)
      ),
      DATE(
        VALUE(RIGHT(TRIM(I180),4)),
        MATCH(LEFT(TRIM(I180),FIND(" ",TRIM(I180))-1),
          {"January","February","March","April","May","June","July","August","September","October","November","December"},0),
        VALUE(MID(TRIM(I180),
          FIND(" ",TRIM(I180))+1,
          FIND(" ",TRIM(I180),FIND(" ",TRIM(I180))+1)-FIND(" ",TRIM(I180))-1))
      )
    )
  ),
"yyyy-mm-dd")</f>
        <v>2023-02-11</v>
      </c>
      <c r="K180" s="5" t="str">
        <f t="shared" si="20"/>
        <v>Feb</v>
      </c>
      <c r="L180">
        <v>1676986397</v>
      </c>
      <c r="M180" s="11">
        <f t="shared" si="21"/>
        <v>44978.564780092594</v>
      </c>
      <c r="O180" s="7">
        <f t="shared" si="22"/>
        <v>0</v>
      </c>
      <c r="P180" t="s">
        <v>52</v>
      </c>
      <c r="Q180" s="7" t="str">
        <f t="shared" si="23"/>
        <v xml:space="preserve">Prefers email </v>
      </c>
    </row>
    <row r="181" spans="1:17">
      <c r="A181">
        <v>1366</v>
      </c>
      <c r="B181" t="s">
        <v>148</v>
      </c>
      <c r="C181" s="9" t="str">
        <f t="shared" si="16"/>
        <v>Chloe Dubois</v>
      </c>
      <c r="D181" s="7" t="str">
        <f t="shared" si="17"/>
        <v>Chloe Dubois</v>
      </c>
      <c r="E181">
        <v>26</v>
      </c>
      <c r="F181" s="7">
        <f t="shared" si="18"/>
        <v>26</v>
      </c>
      <c r="G181" t="s">
        <v>29</v>
      </c>
      <c r="H181" s="7" t="str">
        <f t="shared" si="19"/>
        <v>United States</v>
      </c>
      <c r="I181" t="s">
        <v>262</v>
      </c>
      <c r="J181" s="7" t="str">
        <f>TEXT(
  IFERROR(
    DATEVALUE(SUBSTITUTE(SUBSTITUTE(TRIM(I181),"T"," "),"Z","")),
    IFERROR(
      DATE(
        RIGHT(TRIM(I181),4),
        MID(TRIM(I181),4,2),
        LEFT(TRIM(I181),2)
      ),
      DATE(
        VALUE(RIGHT(TRIM(I181),4)),
        MATCH(LEFT(TRIM(I181),FIND(" ",TRIM(I181))-1),
          {"January","February","March","April","May","June","July","August","September","October","November","December"},0),
        VALUE(MID(TRIM(I181),
          FIND(" ",TRIM(I181))+1,
          FIND(" ",TRIM(I181),FIND(" ",TRIM(I181))+1)-FIND(" ",TRIM(I181))-1))
      )
    )
  ),
"yyyy-mm-dd")</f>
        <v>2023-12-01</v>
      </c>
      <c r="K181" s="5" t="str">
        <f t="shared" si="20"/>
        <v>Dec</v>
      </c>
      <c r="L181">
        <v>1688059832</v>
      </c>
      <c r="M181" s="11">
        <f t="shared" si="21"/>
        <v>45106.729537037041</v>
      </c>
      <c r="O181" s="7">
        <f t="shared" si="22"/>
        <v>0</v>
      </c>
      <c r="P181" t="s">
        <v>46</v>
      </c>
      <c r="Q181" s="7" t="str">
        <f t="shared" si="23"/>
        <v>Corporate account</v>
      </c>
    </row>
    <row r="182" spans="1:17">
      <c r="A182">
        <v>1777</v>
      </c>
      <c r="B182" t="s">
        <v>66</v>
      </c>
      <c r="C182" s="9" t="str">
        <f t="shared" si="16"/>
        <v>Emily Davis</v>
      </c>
      <c r="D182" s="7" t="str">
        <f t="shared" si="17"/>
        <v xml:space="preserve"> Emily Davis </v>
      </c>
      <c r="F182" s="7">
        <f t="shared" si="18"/>
        <v>43</v>
      </c>
      <c r="G182" t="s">
        <v>22</v>
      </c>
      <c r="H182" s="7" t="str">
        <f t="shared" si="19"/>
        <v>Germany</v>
      </c>
      <c r="I182" t="s">
        <v>89</v>
      </c>
      <c r="J182" s="7" t="str">
        <f>TEXT(
  IFERROR(
    DATEVALUE(SUBSTITUTE(SUBSTITUTE(TRIM(I182),"T"," "),"Z","")),
    IFERROR(
      DATE(
        RIGHT(TRIM(I182),4),
        MID(TRIM(I182),4,2),
        LEFT(TRIM(I182),2)
      ),
      DATE(
        VALUE(RIGHT(TRIM(I182),4)),
        MATCH(LEFT(TRIM(I182),FIND(" ",TRIM(I182))-1),
          {"January","February","March","April","May","June","July","August","September","October","November","December"},0),
        VALUE(MID(TRIM(I182),
          FIND(" ",TRIM(I182))+1,
          FIND(" ",TRIM(I182),FIND(" ",TRIM(I182))+1)-FIND(" ",TRIM(I182))-1))
      )
    )
  ),
"yyyy-mm-dd")</f>
        <v>2023-02-27</v>
      </c>
      <c r="K182" s="5" t="str">
        <f t="shared" si="20"/>
        <v>Feb</v>
      </c>
      <c r="L182">
        <v>1699685580</v>
      </c>
      <c r="M182" s="11">
        <f t="shared" si="21"/>
        <v>45241.286805555559</v>
      </c>
      <c r="N182">
        <v>993.69</v>
      </c>
      <c r="O182" s="7">
        <f t="shared" si="22"/>
        <v>993.69</v>
      </c>
      <c r="P182" t="s">
        <v>40</v>
      </c>
      <c r="Q182" s="7" t="str">
        <f t="shared" si="23"/>
        <v xml:space="preserve">VIP client </v>
      </c>
    </row>
    <row r="183" spans="1:17">
      <c r="A183">
        <v>1423</v>
      </c>
      <c r="B183" t="s">
        <v>146</v>
      </c>
      <c r="C183" s="9" t="str">
        <f t="shared" si="16"/>
        <v>Li Wei</v>
      </c>
      <c r="D183" s="7" t="str">
        <f t="shared" si="17"/>
        <v xml:space="preserve"> Li Wei </v>
      </c>
      <c r="E183">
        <v>46</v>
      </c>
      <c r="F183" s="7">
        <f t="shared" si="18"/>
        <v>46</v>
      </c>
      <c r="G183" t="s">
        <v>29</v>
      </c>
      <c r="H183" s="7" t="str">
        <f t="shared" si="19"/>
        <v>United States</v>
      </c>
      <c r="I183" t="s">
        <v>263</v>
      </c>
      <c r="J183" s="7" t="str">
        <f>TEXT(
  IFERROR(
    DATEVALUE(SUBSTITUTE(SUBSTITUTE(TRIM(I183),"T"," "),"Z","")),
    IFERROR(
      DATE(
        RIGHT(TRIM(I183),4),
        MID(TRIM(I183),4,2),
        LEFT(TRIM(I183),2)
      ),
      DATE(
        VALUE(RIGHT(TRIM(I183),4)),
        MATCH(LEFT(TRIM(I183),FIND(" ",TRIM(I183))-1),
          {"January","February","March","April","May","June","July","August","September","October","November","December"},0),
        VALUE(MID(TRIM(I183),
          FIND(" ",TRIM(I183))+1,
          FIND(" ",TRIM(I183),FIND(" ",TRIM(I183))+1)-FIND(" ",TRIM(I183))-1))
      )
    )
  ),
"yyyy-mm-dd")</f>
        <v>2023-05-06</v>
      </c>
      <c r="K183" s="5" t="str">
        <f t="shared" si="20"/>
        <v>May</v>
      </c>
      <c r="L183">
        <v>1686021785</v>
      </c>
      <c r="M183" s="11">
        <f t="shared" si="21"/>
        <v>45083.141030092593</v>
      </c>
      <c r="N183">
        <v>664.05</v>
      </c>
      <c r="O183" s="7">
        <f t="shared" si="22"/>
        <v>664.05</v>
      </c>
      <c r="P183" t="s">
        <v>20</v>
      </c>
      <c r="Q183" s="7" t="str">
        <f t="shared" si="23"/>
        <v xml:space="preserve">Great customer </v>
      </c>
    </row>
    <row r="184" spans="1:17">
      <c r="A184">
        <v>1287</v>
      </c>
      <c r="B184" t="s">
        <v>80</v>
      </c>
      <c r="C184" s="9" t="str">
        <f t="shared" si="16"/>
        <v>Ahmed Hassan</v>
      </c>
      <c r="D184" s="7" t="str">
        <f t="shared" si="17"/>
        <v>Ahmed Hassan</v>
      </c>
      <c r="E184">
        <v>64</v>
      </c>
      <c r="F184" s="7">
        <f t="shared" si="18"/>
        <v>64</v>
      </c>
      <c r="G184" t="s">
        <v>25</v>
      </c>
      <c r="H184" s="7" t="str">
        <f t="shared" si="19"/>
        <v>Japan</v>
      </c>
      <c r="I184" t="s">
        <v>264</v>
      </c>
      <c r="J184" s="7" t="str">
        <f>TEXT(
  IFERROR(
    DATEVALUE(SUBSTITUTE(SUBSTITUTE(TRIM(I184),"T"," "),"Z","")),
    IFERROR(
      DATE(
        RIGHT(TRIM(I184),4),
        MID(TRIM(I184),4,2),
        LEFT(TRIM(I184),2)
      ),
      DATE(
        VALUE(RIGHT(TRIM(I184),4)),
        MATCH(LEFT(TRIM(I184),FIND(" ",TRIM(I184))-1),
          {"January","February","March","April","May","June","July","August","September","October","November","December"},0),
        VALUE(MID(TRIM(I184),
          FIND(" ",TRIM(I184))+1,
          FIND(" ",TRIM(I184),FIND(" ",TRIM(I184))+1)-FIND(" ",TRIM(I184))-1))
      )
    )
  ),
"yyyy-mm-dd")</f>
        <v>2023-10-23</v>
      </c>
      <c r="K184" s="5" t="str">
        <f t="shared" si="20"/>
        <v>Oct</v>
      </c>
      <c r="L184">
        <v>1698446080</v>
      </c>
      <c r="M184" s="11">
        <f t="shared" si="21"/>
        <v>45226.940740740742</v>
      </c>
      <c r="O184" s="7">
        <f t="shared" si="22"/>
        <v>0</v>
      </c>
      <c r="P184" t="s">
        <v>40</v>
      </c>
      <c r="Q184" s="7" t="str">
        <f t="shared" si="23"/>
        <v xml:space="preserve">VIP client </v>
      </c>
    </row>
    <row r="185" spans="1:17">
      <c r="A185">
        <v>1619</v>
      </c>
      <c r="B185" t="s">
        <v>56</v>
      </c>
      <c r="C185" s="9" t="str">
        <f t="shared" si="16"/>
        <v>Carlos García</v>
      </c>
      <c r="D185" s="7" t="str">
        <f t="shared" si="17"/>
        <v>Carlos García</v>
      </c>
      <c r="F185" s="7">
        <f t="shared" si="18"/>
        <v>43</v>
      </c>
      <c r="G185" t="s">
        <v>102</v>
      </c>
      <c r="H185" s="7" t="str">
        <f t="shared" si="19"/>
        <v>Mexico</v>
      </c>
      <c r="I185" t="s">
        <v>265</v>
      </c>
      <c r="J185" s="7" t="str">
        <f>TEXT(
  IFERROR(
    DATEVALUE(SUBSTITUTE(SUBSTITUTE(TRIM(I185),"T"," "),"Z","")),
    IFERROR(
      DATE(
        RIGHT(TRIM(I185),4),
        MID(TRIM(I185),4,2),
        LEFT(TRIM(I185),2)
      ),
      DATE(
        VALUE(RIGHT(TRIM(I185),4)),
        MATCH(LEFT(TRIM(I185),FIND(" ",TRIM(I185))-1),
          {"January","February","March","April","May","June","July","August","September","October","November","December"},0),
        VALUE(MID(TRIM(I185),
          FIND(" ",TRIM(I185))+1,
          FIND(" ",TRIM(I185),FIND(" ",TRIM(I185))+1)-FIND(" ",TRIM(I185))-1))
      )
    )
  ),
"yyyy-mm-dd")</f>
        <v>2023-05-21</v>
      </c>
      <c r="K185" s="5" t="str">
        <f t="shared" si="20"/>
        <v>May</v>
      </c>
      <c r="L185">
        <v>1691204360</v>
      </c>
      <c r="M185" s="11">
        <f t="shared" si="21"/>
        <v>45143.124537037038</v>
      </c>
      <c r="N185">
        <v>1423.3</v>
      </c>
      <c r="O185" s="7">
        <f t="shared" si="22"/>
        <v>1423.3</v>
      </c>
      <c r="P185" t="s">
        <v>118</v>
      </c>
      <c r="Q185" s="7" t="str">
        <f t="shared" si="23"/>
        <v>High engagement</v>
      </c>
    </row>
    <row r="186" spans="1:17">
      <c r="A186">
        <v>2139</v>
      </c>
      <c r="B186" t="s">
        <v>69</v>
      </c>
      <c r="C186" s="9" t="str">
        <f t="shared" si="16"/>
        <v>Isabella Martinez</v>
      </c>
      <c r="D186" s="7" t="str">
        <f t="shared" si="17"/>
        <v xml:space="preserve"> Isabella Martinez </v>
      </c>
      <c r="E186">
        <v>59</v>
      </c>
      <c r="F186" s="7">
        <f t="shared" si="18"/>
        <v>59</v>
      </c>
      <c r="G186" t="s">
        <v>116</v>
      </c>
      <c r="H186" s="7" t="str">
        <f t="shared" si="19"/>
        <v>China</v>
      </c>
      <c r="I186" t="s">
        <v>266</v>
      </c>
      <c r="J186" s="7" t="str">
        <f>TEXT(
  IFERROR(
    DATEVALUE(SUBSTITUTE(SUBSTITUTE(TRIM(I186),"T"," "),"Z","")),
    IFERROR(
      DATE(
        RIGHT(TRIM(I186),4),
        MID(TRIM(I186),4,2),
        LEFT(TRIM(I186),2)
      ),
      DATE(
        VALUE(RIGHT(TRIM(I186),4)),
        MATCH(LEFT(TRIM(I186),FIND(" ",TRIM(I186))-1),
          {"January","February","March","April","May","June","July","August","September","October","November","December"},0),
        VALUE(MID(TRIM(I186),
          FIND(" ",TRIM(I186))+1,
          FIND(" ",TRIM(I186),FIND(" ",TRIM(I186))+1)-FIND(" ",TRIM(I186))-1))
      )
    )
  ),
"yyyy-mm-dd")</f>
        <v>2023-09-26</v>
      </c>
      <c r="K186" s="5" t="str">
        <f t="shared" si="20"/>
        <v>Sep</v>
      </c>
      <c r="L186">
        <v>1695888233</v>
      </c>
      <c r="M186" s="11">
        <f t="shared" si="21"/>
        <v>45197.336030092592</v>
      </c>
      <c r="N186">
        <v>630.32000000000005</v>
      </c>
      <c r="O186" s="7">
        <f t="shared" si="22"/>
        <v>630.32000000000005</v>
      </c>
      <c r="P186" t="s">
        <v>58</v>
      </c>
      <c r="Q186" s="7" t="str">
        <f t="shared" si="23"/>
        <v>Student account</v>
      </c>
    </row>
    <row r="187" spans="1:17">
      <c r="A187">
        <v>1771</v>
      </c>
      <c r="B187" t="s">
        <v>124</v>
      </c>
      <c r="C187" s="9" t="str">
        <f t="shared" si="16"/>
        <v>Sarah Johnson</v>
      </c>
      <c r="D187" s="7" t="str">
        <f t="shared" si="17"/>
        <v>Sarah Johnson</v>
      </c>
      <c r="E187">
        <v>48</v>
      </c>
      <c r="F187" s="7">
        <f t="shared" si="18"/>
        <v>48</v>
      </c>
      <c r="G187" t="s">
        <v>102</v>
      </c>
      <c r="H187" s="7" t="str">
        <f t="shared" si="19"/>
        <v>Mexico</v>
      </c>
      <c r="I187" t="s">
        <v>267</v>
      </c>
      <c r="J187" s="7" t="str">
        <f>TEXT(
  IFERROR(
    DATEVALUE(SUBSTITUTE(SUBSTITUTE(TRIM(I187),"T"," "),"Z","")),
    IFERROR(
      DATE(
        RIGHT(TRIM(I187),4),
        MID(TRIM(I187),4,2),
        LEFT(TRIM(I187),2)
      ),
      DATE(
        VALUE(RIGHT(TRIM(I187),4)),
        MATCH(LEFT(TRIM(I187),FIND(" ",TRIM(I187))-1),
          {"January","February","March","April","May","June","July","August","September","October","November","December"},0),
        VALUE(MID(TRIM(I187),
          FIND(" ",TRIM(I187))+1,
          FIND(" ",TRIM(I187),FIND(" ",TRIM(I187))+1)-FIND(" ",TRIM(I187))-1))
      )
    )
  ),
"yyyy-mm-dd")</f>
        <v>2023-12-29</v>
      </c>
      <c r="K187" s="5" t="str">
        <f t="shared" si="20"/>
        <v>Dec</v>
      </c>
      <c r="L187">
        <v>1699561361</v>
      </c>
      <c r="M187" s="11">
        <f t="shared" si="21"/>
        <v>45239.849085648151</v>
      </c>
      <c r="N187">
        <v>699.91</v>
      </c>
      <c r="O187" s="7">
        <f t="shared" si="22"/>
        <v>699.91</v>
      </c>
      <c r="P187" t="s">
        <v>46</v>
      </c>
      <c r="Q187" s="7" t="str">
        <f t="shared" si="23"/>
        <v>Corporate account</v>
      </c>
    </row>
    <row r="188" spans="1:17">
      <c r="A188">
        <v>1846</v>
      </c>
      <c r="B188" t="s">
        <v>74</v>
      </c>
      <c r="C188" s="9" t="str">
        <f t="shared" si="16"/>
        <v>Sofia Rossi</v>
      </c>
      <c r="D188" s="7" t="str">
        <f t="shared" si="17"/>
        <v>Sofia Rossi</v>
      </c>
      <c r="E188">
        <v>26</v>
      </c>
      <c r="F188" s="7">
        <f t="shared" si="18"/>
        <v>26</v>
      </c>
      <c r="G188" t="s">
        <v>54</v>
      </c>
      <c r="H188" s="7" t="str">
        <f t="shared" si="19"/>
        <v>Brazil</v>
      </c>
      <c r="I188" t="s">
        <v>268</v>
      </c>
      <c r="J188" s="7" t="str">
        <f>TEXT(
  IFERROR(
    DATEVALUE(SUBSTITUTE(SUBSTITUTE(TRIM(I188),"T"," "),"Z","")),
    IFERROR(
      DATE(
        RIGHT(TRIM(I188),4),
        MID(TRIM(I188),4,2),
        LEFT(TRIM(I188),2)
      ),
      DATE(
        VALUE(RIGHT(TRIM(I188),4)),
        MATCH(LEFT(TRIM(I188),FIND(" ",TRIM(I188))-1),
          {"January","February","March","April","May","June","July","August","September","October","November","December"},0),
        VALUE(MID(TRIM(I188),
          FIND(" ",TRIM(I188))+1,
          FIND(" ",TRIM(I188),FIND(" ",TRIM(I188))+1)-FIND(" ",TRIM(I188))-1))
      )
    )
  ),
"yyyy-mm-dd")</f>
        <v>2023-04-15</v>
      </c>
      <c r="K188" s="5" t="str">
        <f t="shared" si="20"/>
        <v>Apr</v>
      </c>
      <c r="L188">
        <v>1694223847</v>
      </c>
      <c r="M188" s="11">
        <f t="shared" si="21"/>
        <v>45178.07230324074</v>
      </c>
      <c r="O188" s="7">
        <f t="shared" si="22"/>
        <v>0</v>
      </c>
      <c r="P188" t="s">
        <v>84</v>
      </c>
      <c r="Q188" s="7" t="str">
        <f t="shared" si="23"/>
        <v xml:space="preserve">Newsletter subscriber </v>
      </c>
    </row>
    <row r="189" spans="1:17">
      <c r="A189">
        <v>1190</v>
      </c>
      <c r="B189" t="s">
        <v>148</v>
      </c>
      <c r="C189" s="9" t="str">
        <f t="shared" si="16"/>
        <v>Chloe Dubois</v>
      </c>
      <c r="D189" s="7" t="str">
        <f t="shared" si="17"/>
        <v>Chloe Dubois</v>
      </c>
      <c r="F189" s="7">
        <f t="shared" si="18"/>
        <v>43</v>
      </c>
      <c r="G189" t="s">
        <v>116</v>
      </c>
      <c r="H189" s="7" t="str">
        <f t="shared" si="19"/>
        <v>China</v>
      </c>
      <c r="I189" t="s">
        <v>269</v>
      </c>
      <c r="J189" s="7" t="str">
        <f>TEXT(
  IFERROR(
    DATEVALUE(SUBSTITUTE(SUBSTITUTE(TRIM(I189),"T"," "),"Z","")),
    IFERROR(
      DATE(
        RIGHT(TRIM(I189),4),
        MID(TRIM(I189),4,2),
        LEFT(TRIM(I189),2)
      ),
      DATE(
        VALUE(RIGHT(TRIM(I189),4)),
        MATCH(LEFT(TRIM(I189),FIND(" ",TRIM(I189))-1),
          {"January","February","March","April","May","June","July","August","September","October","November","December"},0),
        VALUE(MID(TRIM(I189),
          FIND(" ",TRIM(I189))+1,
          FIND(" ",TRIM(I189),FIND(" ",TRIM(I189))+1)-FIND(" ",TRIM(I189))-1))
      )
    )
  ),
"yyyy-mm-dd")</f>
        <v>2023-12-11</v>
      </c>
      <c r="K189" s="5" t="str">
        <f t="shared" si="20"/>
        <v>Dec</v>
      </c>
      <c r="L189">
        <v>1692754706</v>
      </c>
      <c r="M189" s="11">
        <f t="shared" si="21"/>
        <v>45161.068356481483</v>
      </c>
      <c r="N189">
        <v>68.930000000000007</v>
      </c>
      <c r="O189" s="7">
        <f t="shared" si="22"/>
        <v>68.930000000000007</v>
      </c>
      <c r="P189" t="s">
        <v>40</v>
      </c>
      <c r="Q189" s="7" t="str">
        <f t="shared" si="23"/>
        <v xml:space="preserve">VIP client </v>
      </c>
    </row>
    <row r="190" spans="1:17">
      <c r="A190">
        <v>2145</v>
      </c>
      <c r="B190" t="s">
        <v>104</v>
      </c>
      <c r="C190" s="9" t="str">
        <f t="shared" si="16"/>
        <v>David Brown</v>
      </c>
      <c r="D190" s="7" t="str">
        <f t="shared" si="17"/>
        <v>David Brown</v>
      </c>
      <c r="E190">
        <v>39</v>
      </c>
      <c r="F190" s="7">
        <f t="shared" si="18"/>
        <v>39</v>
      </c>
      <c r="G190" t="s">
        <v>22</v>
      </c>
      <c r="H190" s="7" t="str">
        <f t="shared" si="19"/>
        <v>Germany</v>
      </c>
      <c r="I190" t="s">
        <v>270</v>
      </c>
      <c r="J190" s="7" t="str">
        <f>TEXT(
  IFERROR(
    DATEVALUE(SUBSTITUTE(SUBSTITUTE(TRIM(I190),"T"," "),"Z","")),
    IFERROR(
      DATE(
        RIGHT(TRIM(I190),4),
        MID(TRIM(I190),4,2),
        LEFT(TRIM(I190),2)
      ),
      DATE(
        VALUE(RIGHT(TRIM(I190),4)),
        MATCH(LEFT(TRIM(I190),FIND(" ",TRIM(I190))-1),
          {"January","February","March","April","May","June","July","August","September","October","November","December"},0),
        VALUE(MID(TRIM(I190),
          FIND(" ",TRIM(I190))+1,
          FIND(" ",TRIM(I190),FIND(" ",TRIM(I190))+1)-FIND(" ",TRIM(I190))-1))
      )
    )
  ),
"yyyy-mm-dd")</f>
        <v>2023-04-08</v>
      </c>
      <c r="K190" s="5" t="str">
        <f t="shared" si="20"/>
        <v>Apr</v>
      </c>
      <c r="L190">
        <v>1697585108</v>
      </c>
      <c r="M190" s="11">
        <f t="shared" si="21"/>
        <v>45216.975787037038</v>
      </c>
      <c r="O190" s="7">
        <f t="shared" si="22"/>
        <v>0</v>
      </c>
      <c r="P190" t="s">
        <v>40</v>
      </c>
      <c r="Q190" s="7" t="str">
        <f t="shared" si="23"/>
        <v xml:space="preserve">VIP client </v>
      </c>
    </row>
    <row r="191" spans="1:17">
      <c r="A191">
        <v>1419</v>
      </c>
      <c r="B191" t="s">
        <v>126</v>
      </c>
      <c r="C191" s="9" t="str">
        <f t="shared" si="16"/>
        <v>Noah Martin</v>
      </c>
      <c r="D191" s="7" t="str">
        <f t="shared" si="17"/>
        <v>Noah Martin</v>
      </c>
      <c r="F191" s="7">
        <f t="shared" si="18"/>
        <v>43</v>
      </c>
      <c r="G191" t="s">
        <v>116</v>
      </c>
      <c r="H191" s="7" t="str">
        <f t="shared" si="19"/>
        <v>China</v>
      </c>
      <c r="I191" t="s">
        <v>271</v>
      </c>
      <c r="J191" s="7" t="str">
        <f>TEXT(
  IFERROR(
    DATEVALUE(SUBSTITUTE(SUBSTITUTE(TRIM(I191),"T"," "),"Z","")),
    IFERROR(
      DATE(
        RIGHT(TRIM(I191),4),
        MID(TRIM(I191),4,2),
        LEFT(TRIM(I191),2)
      ),
      DATE(
        VALUE(RIGHT(TRIM(I191),4)),
        MATCH(LEFT(TRIM(I191),FIND(" ",TRIM(I191))-1),
          {"January","February","March","April","May","June","July","August","September","October","November","December"},0),
        VALUE(MID(TRIM(I191),
          FIND(" ",TRIM(I191))+1,
          FIND(" ",TRIM(I191),FIND(" ",TRIM(I191))+1)-FIND(" ",TRIM(I191))-1))
      )
    )
  ),
"yyyy-mm-dd")</f>
        <v>2023-08-27</v>
      </c>
      <c r="K191" s="5" t="str">
        <f t="shared" si="20"/>
        <v>Aug</v>
      </c>
      <c r="L191">
        <v>1694291476</v>
      </c>
      <c r="M191" s="11">
        <f t="shared" si="21"/>
        <v>45178.855046296296</v>
      </c>
      <c r="O191" s="7">
        <f t="shared" si="22"/>
        <v>0</v>
      </c>
      <c r="P191" t="s">
        <v>84</v>
      </c>
      <c r="Q191" s="7" t="str">
        <f t="shared" si="23"/>
        <v xml:space="preserve">Newsletter subscriber </v>
      </c>
    </row>
    <row r="192" spans="1:17">
      <c r="A192">
        <v>2051</v>
      </c>
      <c r="B192" t="s">
        <v>131</v>
      </c>
      <c r="C192" s="9" t="str">
        <f t="shared" si="16"/>
        <v>Isabella Martinez</v>
      </c>
      <c r="D192" s="7" t="str">
        <f t="shared" si="17"/>
        <v>Isabella Martinez</v>
      </c>
      <c r="F192" s="7">
        <f t="shared" si="18"/>
        <v>43</v>
      </c>
      <c r="G192" t="s">
        <v>22</v>
      </c>
      <c r="H192" s="7" t="str">
        <f t="shared" si="19"/>
        <v>Germany</v>
      </c>
      <c r="I192" t="s">
        <v>272</v>
      </c>
      <c r="J192" s="7" t="str">
        <f>TEXT(
  IFERROR(
    DATEVALUE(SUBSTITUTE(SUBSTITUTE(TRIM(I192),"T"," "),"Z","")),
    IFERROR(
      DATE(
        RIGHT(TRIM(I192),4),
        MID(TRIM(I192),4,2),
        LEFT(TRIM(I192),2)
      ),
      DATE(
        VALUE(RIGHT(TRIM(I192),4)),
        MATCH(LEFT(TRIM(I192),FIND(" ",TRIM(I192))-1),
          {"January","February","March","April","May","June","July","August","September","October","November","December"},0),
        VALUE(MID(TRIM(I192),
          FIND(" ",TRIM(I192))+1,
          FIND(" ",TRIM(I192),FIND(" ",TRIM(I192))+1)-FIND(" ",TRIM(I192))-1))
      )
    )
  ),
"yyyy-mm-dd")</f>
        <v>2023-09-07</v>
      </c>
      <c r="K192" s="5" t="str">
        <f t="shared" si="20"/>
        <v>Sep</v>
      </c>
      <c r="L192">
        <v>1686413191</v>
      </c>
      <c r="M192" s="11">
        <f t="shared" si="21"/>
        <v>45087.67119212963</v>
      </c>
      <c r="N192">
        <v>78.12</v>
      </c>
      <c r="O192" s="7">
        <f t="shared" si="22"/>
        <v>78.12</v>
      </c>
      <c r="P192" t="s">
        <v>33</v>
      </c>
      <c r="Q192" s="7" t="str">
        <f t="shared" si="23"/>
        <v>Frequent buyer n</v>
      </c>
    </row>
    <row r="193" spans="1:17">
      <c r="A193">
        <v>1504</v>
      </c>
      <c r="B193" t="s">
        <v>131</v>
      </c>
      <c r="C193" s="9" t="str">
        <f t="shared" si="16"/>
        <v>Isabella Martinez</v>
      </c>
      <c r="D193" s="7" t="str">
        <f t="shared" si="17"/>
        <v>Isabella Martinez</v>
      </c>
      <c r="F193" s="7">
        <f t="shared" si="18"/>
        <v>43</v>
      </c>
      <c r="G193" t="s">
        <v>60</v>
      </c>
      <c r="H193" s="7" t="str">
        <f t="shared" si="19"/>
        <v>Egypt</v>
      </c>
      <c r="I193" t="s">
        <v>273</v>
      </c>
      <c r="J193" s="7" t="str">
        <f>TEXT(
  IFERROR(
    DATEVALUE(SUBSTITUTE(SUBSTITUTE(TRIM(I193),"T"," "),"Z","")),
    IFERROR(
      DATE(
        RIGHT(TRIM(I193),4),
        MID(TRIM(I193),4,2),
        LEFT(TRIM(I193),2)
      ),
      DATE(
        VALUE(RIGHT(TRIM(I193),4)),
        MATCH(LEFT(TRIM(I193),FIND(" ",TRIM(I193))-1),
          {"January","February","March","April","May","June","July","August","September","October","November","December"},0),
        VALUE(MID(TRIM(I193),
          FIND(" ",TRIM(I193))+1,
          FIND(" ",TRIM(I193),FIND(" ",TRIM(I193))+1)-FIND(" ",TRIM(I193))-1))
      )
    )
  ),
"yyyy-mm-dd")</f>
        <v>2023-11-25</v>
      </c>
      <c r="K193" s="5" t="str">
        <f t="shared" si="20"/>
        <v>Nov</v>
      </c>
      <c r="L193">
        <v>1687986855</v>
      </c>
      <c r="M193" s="11">
        <f t="shared" si="21"/>
        <v>45105.884895833333</v>
      </c>
      <c r="O193" s="7">
        <f t="shared" si="22"/>
        <v>0</v>
      </c>
      <c r="P193" t="s">
        <v>33</v>
      </c>
      <c r="Q193" s="7" t="str">
        <f t="shared" si="23"/>
        <v>Frequent buyer n</v>
      </c>
    </row>
    <row r="194" spans="1:17">
      <c r="A194">
        <v>1990</v>
      </c>
      <c r="B194" t="s">
        <v>101</v>
      </c>
      <c r="C194" s="9" t="str">
        <f t="shared" si="16"/>
        <v>Zoë Kravitz</v>
      </c>
      <c r="D194" s="7" t="str">
        <f t="shared" si="17"/>
        <v>Zoë Kravitz</v>
      </c>
      <c r="E194">
        <v>52</v>
      </c>
      <c r="F194" s="7">
        <f t="shared" si="18"/>
        <v>52</v>
      </c>
      <c r="G194" t="s">
        <v>44</v>
      </c>
      <c r="H194" s="7" t="str">
        <f t="shared" si="19"/>
        <v>UAE</v>
      </c>
      <c r="I194" t="s">
        <v>274</v>
      </c>
      <c r="J194" s="7" t="str">
        <f>TEXT(
  IFERROR(
    DATEVALUE(SUBSTITUTE(SUBSTITUTE(TRIM(I194),"T"," "),"Z","")),
    IFERROR(
      DATE(
        RIGHT(TRIM(I194),4),
        MID(TRIM(I194),4,2),
        LEFT(TRIM(I194),2)
      ),
      DATE(
        VALUE(RIGHT(TRIM(I194),4)),
        MATCH(LEFT(TRIM(I194),FIND(" ",TRIM(I194))-1),
          {"January","February","March","April","May","June","July","August","September","October","November","December"},0),
        VALUE(MID(TRIM(I194),
          FIND(" ",TRIM(I194))+1,
          FIND(" ",TRIM(I194),FIND(" ",TRIM(I194))+1)-FIND(" ",TRIM(I194))-1))
      )
    )
  ),
"yyyy-mm-dd")</f>
        <v>2023-01-07</v>
      </c>
      <c r="K194" s="5" t="str">
        <f t="shared" si="20"/>
        <v>Jan</v>
      </c>
      <c r="L194">
        <v>1690288308</v>
      </c>
      <c r="M194" s="11">
        <f t="shared" si="21"/>
        <v>45132.52208333333</v>
      </c>
      <c r="O194" s="7">
        <f t="shared" si="22"/>
        <v>0</v>
      </c>
      <c r="P194" t="s">
        <v>20</v>
      </c>
      <c r="Q194" s="7" t="str">
        <f t="shared" si="23"/>
        <v xml:space="preserve">Great customer </v>
      </c>
    </row>
    <row r="195" spans="1:17">
      <c r="A195">
        <v>2159</v>
      </c>
      <c r="B195" t="s">
        <v>140</v>
      </c>
      <c r="C195" s="9" t="str">
        <f t="shared" ref="C195:C258" si="24">TRIM(B195)</f>
        <v>Anne Müller</v>
      </c>
      <c r="D195" s="7" t="str">
        <f t="shared" ref="D195:D258" si="25">PROPER(B195)</f>
        <v>Anne Müller</v>
      </c>
      <c r="E195">
        <v>20</v>
      </c>
      <c r="F195" s="7">
        <f t="shared" ref="F195:F258" si="26">IF(OR(E195="", ISBLANK(E195)), MEDIAN($E$2:$E$1501), E195)</f>
        <v>20</v>
      </c>
      <c r="G195" t="s">
        <v>60</v>
      </c>
      <c r="H195" s="7" t="str">
        <f t="shared" ref="H195:H258" si="27">TRIM(G195)</f>
        <v>Egypt</v>
      </c>
      <c r="I195" t="s">
        <v>275</v>
      </c>
      <c r="J195" s="7" t="str">
        <f>TEXT(
  IFERROR(
    DATEVALUE(SUBSTITUTE(SUBSTITUTE(TRIM(I195),"T"," "),"Z","")),
    IFERROR(
      DATE(
        RIGHT(TRIM(I195),4),
        MID(TRIM(I195),4,2),
        LEFT(TRIM(I195),2)
      ),
      DATE(
        VALUE(RIGHT(TRIM(I195),4)),
        MATCH(LEFT(TRIM(I195),FIND(" ",TRIM(I195))-1),
          {"January","February","March","April","May","June","July","August","September","October","November","December"},0),
        VALUE(MID(TRIM(I195),
          FIND(" ",TRIM(I195))+1,
          FIND(" ",TRIM(I195),FIND(" ",TRIM(I195))+1)-FIND(" ",TRIM(I195))-1))
      )
    )
  ),
"yyyy-mm-dd")</f>
        <v>2023-05-19</v>
      </c>
      <c r="K195" s="5" t="str">
        <f t="shared" ref="K195:K258" si="28">TEXT(J195,"mmm")</f>
        <v>May</v>
      </c>
      <c r="L195">
        <v>1703533639</v>
      </c>
      <c r="M195" s="11">
        <f t="shared" ref="M195:M258" si="29">((L195)/86400)+DATE(1970,1,1)</f>
        <v>45285.824525462958</v>
      </c>
      <c r="O195" s="7">
        <f t="shared" ref="O195:O258" si="30">IF(N195="", 0, N195)</f>
        <v>0</v>
      </c>
      <c r="P195" t="s">
        <v>46</v>
      </c>
      <c r="Q195" s="7" t="str">
        <f t="shared" ref="Q195:Q258" si="31">SUBSTITUTE(SUBSTITUTE(SUBSTITUTE(P195,"$",""),"%",""),"ñ","n")</f>
        <v>Corporate account</v>
      </c>
    </row>
    <row r="196" spans="1:17">
      <c r="A196">
        <v>2155</v>
      </c>
      <c r="B196" t="s">
        <v>92</v>
      </c>
      <c r="C196" s="9" t="str">
        <f t="shared" si="24"/>
        <v>Zoë Kravitz</v>
      </c>
      <c r="D196" s="7" t="str">
        <f t="shared" si="25"/>
        <v xml:space="preserve"> Zoë Kravitz </v>
      </c>
      <c r="E196">
        <v>38</v>
      </c>
      <c r="F196" s="7">
        <f t="shared" si="26"/>
        <v>38</v>
      </c>
      <c r="G196" t="s">
        <v>18</v>
      </c>
      <c r="H196" s="7" t="str">
        <f t="shared" si="27"/>
        <v>United Kingdom</v>
      </c>
      <c r="I196" t="s">
        <v>276</v>
      </c>
      <c r="J196" s="7" t="str">
        <f>TEXT(
  IFERROR(
    DATEVALUE(SUBSTITUTE(SUBSTITUTE(TRIM(I196),"T"," "),"Z","")),
    IFERROR(
      DATE(
        RIGHT(TRIM(I196),4),
        MID(TRIM(I196),4,2),
        LEFT(TRIM(I196),2)
      ),
      DATE(
        VALUE(RIGHT(TRIM(I196),4)),
        MATCH(LEFT(TRIM(I196),FIND(" ",TRIM(I196))-1),
          {"January","February","March","April","May","June","July","August","September","October","November","December"},0),
        VALUE(MID(TRIM(I196),
          FIND(" ",TRIM(I196))+1,
          FIND(" ",TRIM(I196),FIND(" ",TRIM(I196))+1)-FIND(" ",TRIM(I196))-1))
      )
    )
  ),
"yyyy-mm-dd")</f>
        <v>2023-12-31</v>
      </c>
      <c r="K196" s="5" t="str">
        <f t="shared" si="28"/>
        <v>Dec</v>
      </c>
      <c r="L196">
        <v>1703691871</v>
      </c>
      <c r="M196" s="11">
        <f t="shared" si="29"/>
        <v>45287.655914351853</v>
      </c>
      <c r="N196">
        <v>124.64</v>
      </c>
      <c r="O196" s="7">
        <f t="shared" si="30"/>
        <v>124.64</v>
      </c>
      <c r="P196" t="s">
        <v>27</v>
      </c>
      <c r="Q196" s="7" t="str">
        <f t="shared" si="31"/>
        <v xml:space="preserve">Holiday signup </v>
      </c>
    </row>
    <row r="197" spans="1:17">
      <c r="A197">
        <v>1493</v>
      </c>
      <c r="B197" t="s">
        <v>166</v>
      </c>
      <c r="C197" s="9" t="str">
        <f t="shared" si="24"/>
        <v>Daniel Kim</v>
      </c>
      <c r="D197" s="7" t="str">
        <f t="shared" si="25"/>
        <v>Daniel Kim</v>
      </c>
      <c r="E197">
        <v>61</v>
      </c>
      <c r="F197" s="7">
        <f t="shared" si="26"/>
        <v>61</v>
      </c>
      <c r="G197" t="s">
        <v>25</v>
      </c>
      <c r="H197" s="7" t="str">
        <f t="shared" si="27"/>
        <v>Japan</v>
      </c>
      <c r="I197" t="s">
        <v>277</v>
      </c>
      <c r="J197" s="7" t="str">
        <f>TEXT(
  IFERROR(
    DATEVALUE(SUBSTITUTE(SUBSTITUTE(TRIM(I197),"T"," "),"Z","")),
    IFERROR(
      DATE(
        RIGHT(TRIM(I197),4),
        MID(TRIM(I197),4,2),
        LEFT(TRIM(I197),2)
      ),
      DATE(
        VALUE(RIGHT(TRIM(I197),4)),
        MATCH(LEFT(TRIM(I197),FIND(" ",TRIM(I197))-1),
          {"January","February","March","April","May","June","July","August","September","October","November","December"},0),
        VALUE(MID(TRIM(I197),
          FIND(" ",TRIM(I197))+1,
          FIND(" ",TRIM(I197),FIND(" ",TRIM(I197))+1)-FIND(" ",TRIM(I197))-1))
      )
    )
  ),
"yyyy-mm-dd")</f>
        <v>2023-07-16</v>
      </c>
      <c r="K197" s="5" t="str">
        <f t="shared" si="28"/>
        <v>Jul</v>
      </c>
      <c r="L197">
        <v>1699048714</v>
      </c>
      <c r="M197" s="11">
        <f t="shared" si="29"/>
        <v>45233.915671296301</v>
      </c>
      <c r="N197">
        <v>1482.83</v>
      </c>
      <c r="O197" s="7">
        <f t="shared" si="30"/>
        <v>1482.83</v>
      </c>
      <c r="P197" t="s">
        <v>46</v>
      </c>
      <c r="Q197" s="7" t="str">
        <f t="shared" si="31"/>
        <v>Corporate account</v>
      </c>
    </row>
    <row r="198" spans="1:17">
      <c r="A198">
        <v>1709</v>
      </c>
      <c r="B198" t="s">
        <v>59</v>
      </c>
      <c r="C198" s="9" t="str">
        <f t="shared" si="24"/>
        <v>Maria Lopez</v>
      </c>
      <c r="D198" s="7" t="str">
        <f t="shared" si="25"/>
        <v xml:space="preserve"> Maria Lopez </v>
      </c>
      <c r="F198" s="7">
        <f t="shared" si="26"/>
        <v>43</v>
      </c>
      <c r="G198" t="s">
        <v>116</v>
      </c>
      <c r="H198" s="7" t="str">
        <f t="shared" si="27"/>
        <v>China</v>
      </c>
      <c r="I198" t="s">
        <v>278</v>
      </c>
      <c r="J198" s="7" t="str">
        <f>TEXT(
  IFERROR(
    DATEVALUE(SUBSTITUTE(SUBSTITUTE(TRIM(I198),"T"," "),"Z","")),
    IFERROR(
      DATE(
        RIGHT(TRIM(I198),4),
        MID(TRIM(I198),4,2),
        LEFT(TRIM(I198),2)
      ),
      DATE(
        VALUE(RIGHT(TRIM(I198),4)),
        MATCH(LEFT(TRIM(I198),FIND(" ",TRIM(I198))-1),
          {"January","February","March","April","May","June","July","August","September","October","November","December"},0),
        VALUE(MID(TRIM(I198),
          FIND(" ",TRIM(I198))+1,
          FIND(" ",TRIM(I198),FIND(" ",TRIM(I198))+1)-FIND(" ",TRIM(I198))-1))
      )
    )
  ),
"yyyy-mm-dd")</f>
        <v>2023-06-17</v>
      </c>
      <c r="K198" s="5" t="str">
        <f t="shared" si="28"/>
        <v>Jun</v>
      </c>
      <c r="L198">
        <v>1693801635</v>
      </c>
      <c r="M198" s="11">
        <f t="shared" si="29"/>
        <v>45173.185590277775</v>
      </c>
      <c r="O198" s="7">
        <f t="shared" si="30"/>
        <v>0</v>
      </c>
      <c r="P198" t="s">
        <v>36</v>
      </c>
      <c r="Q198" s="7" t="str">
        <f t="shared" si="31"/>
        <v>Regular shopper</v>
      </c>
    </row>
    <row r="199" spans="1:17">
      <c r="A199">
        <v>1468</v>
      </c>
      <c r="B199" t="s">
        <v>90</v>
      </c>
      <c r="C199" s="9" t="str">
        <f t="shared" si="24"/>
        <v>Olivia Wilson</v>
      </c>
      <c r="D199" s="7" t="str">
        <f t="shared" si="25"/>
        <v>Olivia Wilson</v>
      </c>
      <c r="E199">
        <v>42</v>
      </c>
      <c r="F199" s="7">
        <f t="shared" si="26"/>
        <v>42</v>
      </c>
      <c r="G199" t="s">
        <v>116</v>
      </c>
      <c r="H199" s="7" t="str">
        <f t="shared" si="27"/>
        <v>China</v>
      </c>
      <c r="I199" t="s">
        <v>279</v>
      </c>
      <c r="J199" s="7" t="str">
        <f>TEXT(
  IFERROR(
    DATEVALUE(SUBSTITUTE(SUBSTITUTE(TRIM(I199),"T"," "),"Z","")),
    IFERROR(
      DATE(
        RIGHT(TRIM(I199),4),
        MID(TRIM(I199),4,2),
        LEFT(TRIM(I199),2)
      ),
      DATE(
        VALUE(RIGHT(TRIM(I199),4)),
        MATCH(LEFT(TRIM(I199),FIND(" ",TRIM(I199))-1),
          {"January","February","March","April","May","June","July","August","September","October","November","December"},0),
        VALUE(MID(TRIM(I199),
          FIND(" ",TRIM(I199))+1,
          FIND(" ",TRIM(I199),FIND(" ",TRIM(I199))+1)-FIND(" ",TRIM(I199))-1))
      )
    )
  ),
"yyyy-mm-dd")</f>
        <v>2023-02-13</v>
      </c>
      <c r="K199" s="5" t="str">
        <f t="shared" si="28"/>
        <v>Feb</v>
      </c>
      <c r="L199">
        <v>1682435290</v>
      </c>
      <c r="M199" s="11">
        <f t="shared" si="29"/>
        <v>45041.630671296298</v>
      </c>
      <c r="N199">
        <v>1199.0999999999999</v>
      </c>
      <c r="O199" s="7">
        <f t="shared" si="30"/>
        <v>1199.0999999999999</v>
      </c>
      <c r="P199" t="s">
        <v>52</v>
      </c>
      <c r="Q199" s="7" t="str">
        <f t="shared" si="31"/>
        <v xml:space="preserve">Prefers email </v>
      </c>
    </row>
    <row r="200" spans="1:17">
      <c r="A200">
        <v>1549</v>
      </c>
      <c r="B200" t="s">
        <v>56</v>
      </c>
      <c r="C200" s="9" t="str">
        <f t="shared" si="24"/>
        <v>Carlos García</v>
      </c>
      <c r="D200" s="7" t="str">
        <f t="shared" si="25"/>
        <v>Carlos García</v>
      </c>
      <c r="E200">
        <v>27</v>
      </c>
      <c r="F200" s="7">
        <f t="shared" si="26"/>
        <v>27</v>
      </c>
      <c r="G200" t="s">
        <v>116</v>
      </c>
      <c r="H200" s="7" t="str">
        <f t="shared" si="27"/>
        <v>China</v>
      </c>
      <c r="I200" t="s">
        <v>280</v>
      </c>
      <c r="J200" s="7" t="str">
        <f>TEXT(
  IFERROR(
    DATEVALUE(SUBSTITUTE(SUBSTITUTE(TRIM(I200),"T"," "),"Z","")),
    IFERROR(
      DATE(
        RIGHT(TRIM(I200),4),
        MID(TRIM(I200),4,2),
        LEFT(TRIM(I200),2)
      ),
      DATE(
        VALUE(RIGHT(TRIM(I200),4)),
        MATCH(LEFT(TRIM(I200),FIND(" ",TRIM(I200))-1),
          {"January","February","March","April","May","June","July","August","September","October","November","December"},0),
        VALUE(MID(TRIM(I200),
          FIND(" ",TRIM(I200))+1,
          FIND(" ",TRIM(I200),FIND(" ",TRIM(I200))+1)-FIND(" ",TRIM(I200))-1))
      )
    )
  ),
"yyyy-mm-dd")</f>
        <v>2023-12-06</v>
      </c>
      <c r="K200" s="5" t="str">
        <f t="shared" si="28"/>
        <v>Dec</v>
      </c>
      <c r="L200">
        <v>1676099255</v>
      </c>
      <c r="M200" s="11">
        <f t="shared" si="29"/>
        <v>44968.296932870369</v>
      </c>
      <c r="O200" s="7">
        <f t="shared" si="30"/>
        <v>0</v>
      </c>
      <c r="P200" t="s">
        <v>36</v>
      </c>
      <c r="Q200" s="7" t="str">
        <f t="shared" si="31"/>
        <v>Regular shopper</v>
      </c>
    </row>
    <row r="201" spans="1:17">
      <c r="A201">
        <v>1738</v>
      </c>
      <c r="B201" t="s">
        <v>97</v>
      </c>
      <c r="C201" s="9" t="str">
        <f t="shared" si="24"/>
        <v>Björn Larsson</v>
      </c>
      <c r="D201" s="7" t="str">
        <f t="shared" si="25"/>
        <v xml:space="preserve"> Björn Larsson </v>
      </c>
      <c r="E201">
        <v>26</v>
      </c>
      <c r="F201" s="7">
        <f t="shared" si="26"/>
        <v>26</v>
      </c>
      <c r="G201" t="s">
        <v>44</v>
      </c>
      <c r="H201" s="7" t="str">
        <f t="shared" si="27"/>
        <v>UAE</v>
      </c>
      <c r="I201" t="s">
        <v>212</v>
      </c>
      <c r="J201" s="7" t="str">
        <f>TEXT(
  IFERROR(
    DATEVALUE(SUBSTITUTE(SUBSTITUTE(TRIM(I201),"T"," "),"Z","")),
    IFERROR(
      DATE(
        RIGHT(TRIM(I201),4),
        MID(TRIM(I201),4,2),
        LEFT(TRIM(I201),2)
      ),
      DATE(
        VALUE(RIGHT(TRIM(I201),4)),
        MATCH(LEFT(TRIM(I201),FIND(" ",TRIM(I201))-1),
          {"January","February","March","April","May","June","July","August","September","October","November","December"},0),
        VALUE(MID(TRIM(I201),
          FIND(" ",TRIM(I201))+1,
          FIND(" ",TRIM(I201),FIND(" ",TRIM(I201))+1)-FIND(" ",TRIM(I201))-1))
      )
    )
  ),
"yyyy-mm-dd")</f>
        <v>2023-08-18</v>
      </c>
      <c r="K201" s="5" t="str">
        <f t="shared" si="28"/>
        <v>Aug</v>
      </c>
      <c r="L201">
        <v>1691137985</v>
      </c>
      <c r="M201" s="11">
        <f t="shared" si="29"/>
        <v>45142.356307870374</v>
      </c>
      <c r="N201">
        <v>773.54</v>
      </c>
      <c r="O201" s="7">
        <f t="shared" si="30"/>
        <v>773.54</v>
      </c>
      <c r="P201" t="s">
        <v>20</v>
      </c>
      <c r="Q201" s="7" t="str">
        <f t="shared" si="31"/>
        <v xml:space="preserve">Great customer </v>
      </c>
    </row>
    <row r="202" spans="1:17">
      <c r="A202">
        <v>1184</v>
      </c>
      <c r="B202" t="s">
        <v>90</v>
      </c>
      <c r="C202" s="9" t="str">
        <f t="shared" si="24"/>
        <v>Olivia Wilson</v>
      </c>
      <c r="D202" s="7" t="str">
        <f t="shared" si="25"/>
        <v>Olivia Wilson</v>
      </c>
      <c r="F202" s="7">
        <f t="shared" si="26"/>
        <v>43</v>
      </c>
      <c r="G202" t="s">
        <v>116</v>
      </c>
      <c r="H202" s="7" t="str">
        <f t="shared" si="27"/>
        <v>China</v>
      </c>
      <c r="I202" t="s">
        <v>281</v>
      </c>
      <c r="J202" s="7" t="str">
        <f>TEXT(
  IFERROR(
    DATEVALUE(SUBSTITUTE(SUBSTITUTE(TRIM(I202),"T"," "),"Z","")),
    IFERROR(
      DATE(
        RIGHT(TRIM(I202),4),
        MID(TRIM(I202),4,2),
        LEFT(TRIM(I202),2)
      ),
      DATE(
        VALUE(RIGHT(TRIM(I202),4)),
        MATCH(LEFT(TRIM(I202),FIND(" ",TRIM(I202))-1),
          {"January","February","March","April","May","June","July","August","September","October","November","December"},0),
        VALUE(MID(TRIM(I202),
          FIND(" ",TRIM(I202))+1,
          FIND(" ",TRIM(I202),FIND(" ",TRIM(I202))+1)-FIND(" ",TRIM(I202))-1))
      )
    )
  ),
"yyyy-mm-dd")</f>
        <v>2023-07-01</v>
      </c>
      <c r="K202" s="5" t="str">
        <f t="shared" si="28"/>
        <v>Jul</v>
      </c>
      <c r="L202">
        <v>1686409161</v>
      </c>
      <c r="M202" s="11">
        <f t="shared" si="29"/>
        <v>45087.624548611115</v>
      </c>
      <c r="N202">
        <v>587.82000000000005</v>
      </c>
      <c r="O202" s="7">
        <f t="shared" si="30"/>
        <v>587.82000000000005</v>
      </c>
      <c r="P202" t="s">
        <v>46</v>
      </c>
      <c r="Q202" s="7" t="str">
        <f t="shared" si="31"/>
        <v>Corporate account</v>
      </c>
    </row>
    <row r="203" spans="1:17">
      <c r="A203">
        <v>1498</v>
      </c>
      <c r="B203" t="s">
        <v>166</v>
      </c>
      <c r="C203" s="9" t="str">
        <f t="shared" si="24"/>
        <v>Daniel Kim</v>
      </c>
      <c r="D203" s="7" t="str">
        <f t="shared" si="25"/>
        <v>Daniel Kim</v>
      </c>
      <c r="E203">
        <v>61</v>
      </c>
      <c r="F203" s="7">
        <f t="shared" si="26"/>
        <v>61</v>
      </c>
      <c r="G203" t="s">
        <v>18</v>
      </c>
      <c r="H203" s="7" t="str">
        <f t="shared" si="27"/>
        <v>United Kingdom</v>
      </c>
      <c r="I203" t="s">
        <v>282</v>
      </c>
      <c r="J203" s="7" t="str">
        <f>TEXT(
  IFERROR(
    DATEVALUE(SUBSTITUTE(SUBSTITUTE(TRIM(I203),"T"," "),"Z","")),
    IFERROR(
      DATE(
        RIGHT(TRIM(I203),4),
        MID(TRIM(I203),4,2),
        LEFT(TRIM(I203),2)
      ),
      DATE(
        VALUE(RIGHT(TRIM(I203),4)),
        MATCH(LEFT(TRIM(I203),FIND(" ",TRIM(I203))-1),
          {"January","February","March","April","May","June","July","August","September","October","November","December"},0),
        VALUE(MID(TRIM(I203),
          FIND(" ",TRIM(I203))+1,
          FIND(" ",TRIM(I203),FIND(" ",TRIM(I203))+1)-FIND(" ",TRIM(I203))-1))
      )
    )
  ),
"yyyy-mm-dd")</f>
        <v>2023-05-18</v>
      </c>
      <c r="K203" s="5" t="str">
        <f t="shared" si="28"/>
        <v>May</v>
      </c>
      <c r="L203">
        <v>1681530237</v>
      </c>
      <c r="M203" s="11">
        <f t="shared" si="29"/>
        <v>45031.15552083333</v>
      </c>
      <c r="N203">
        <v>744.75</v>
      </c>
      <c r="O203" s="7">
        <f t="shared" si="30"/>
        <v>744.75</v>
      </c>
      <c r="P203" t="s">
        <v>33</v>
      </c>
      <c r="Q203" s="7" t="str">
        <f t="shared" si="31"/>
        <v>Frequent buyer n</v>
      </c>
    </row>
    <row r="204" spans="1:17">
      <c r="A204">
        <v>1278</v>
      </c>
      <c r="B204" t="s">
        <v>240</v>
      </c>
      <c r="C204" s="9" t="str">
        <f t="shared" si="24"/>
        <v>Fatima Ali</v>
      </c>
      <c r="D204" s="7" t="str">
        <f t="shared" si="25"/>
        <v xml:space="preserve"> Fatima Ali </v>
      </c>
      <c r="E204">
        <v>39</v>
      </c>
      <c r="F204" s="7">
        <f t="shared" si="26"/>
        <v>39</v>
      </c>
      <c r="G204" t="s">
        <v>116</v>
      </c>
      <c r="H204" s="7" t="str">
        <f t="shared" si="27"/>
        <v>China</v>
      </c>
      <c r="I204" t="s">
        <v>283</v>
      </c>
      <c r="J204" s="7" t="str">
        <f>TEXT(
  IFERROR(
    DATEVALUE(SUBSTITUTE(SUBSTITUTE(TRIM(I204),"T"," "),"Z","")),
    IFERROR(
      DATE(
        RIGHT(TRIM(I204),4),
        MID(TRIM(I204),4,2),
        LEFT(TRIM(I204),2)
      ),
      DATE(
        VALUE(RIGHT(TRIM(I204),4)),
        MATCH(LEFT(TRIM(I204),FIND(" ",TRIM(I204))-1),
          {"January","February","March","April","May","June","July","August","September","October","November","December"},0),
        VALUE(MID(TRIM(I204),
          FIND(" ",TRIM(I204))+1,
          FIND(" ",TRIM(I204),FIND(" ",TRIM(I204))+1)-FIND(" ",TRIM(I204))-1))
      )
    )
  ),
"yyyy-mm-dd")</f>
        <v>2023-06-18</v>
      </c>
      <c r="K204" s="5" t="str">
        <f t="shared" si="28"/>
        <v>Jun</v>
      </c>
      <c r="L204">
        <v>1683755883</v>
      </c>
      <c r="M204" s="11">
        <f t="shared" si="29"/>
        <v>45056.915312500001</v>
      </c>
      <c r="N204">
        <v>651.62</v>
      </c>
      <c r="O204" s="7">
        <f t="shared" si="30"/>
        <v>651.62</v>
      </c>
      <c r="P204" t="s">
        <v>58</v>
      </c>
      <c r="Q204" s="7" t="str">
        <f t="shared" si="31"/>
        <v>Student account</v>
      </c>
    </row>
    <row r="205" spans="1:17">
      <c r="A205">
        <v>1657</v>
      </c>
      <c r="B205" t="s">
        <v>183</v>
      </c>
      <c r="C205" s="9" t="str">
        <f t="shared" si="24"/>
        <v>Mia Thompson</v>
      </c>
      <c r="D205" s="7" t="str">
        <f t="shared" si="25"/>
        <v>Mia Thompson</v>
      </c>
      <c r="F205" s="7">
        <f t="shared" si="26"/>
        <v>43</v>
      </c>
      <c r="G205" t="s">
        <v>48</v>
      </c>
      <c r="H205" s="7" t="str">
        <f t="shared" si="27"/>
        <v>France</v>
      </c>
      <c r="I205" t="s">
        <v>284</v>
      </c>
      <c r="J205" s="7" t="str">
        <f>TEXT(
  IFERROR(
    DATEVALUE(SUBSTITUTE(SUBSTITUTE(TRIM(I205),"T"," "),"Z","")),
    IFERROR(
      DATE(
        RIGHT(TRIM(I205),4),
        MID(TRIM(I205),4,2),
        LEFT(TRIM(I205),2)
      ),
      DATE(
        VALUE(RIGHT(TRIM(I205),4)),
        MATCH(LEFT(TRIM(I205),FIND(" ",TRIM(I205))-1),
          {"January","February","March","April","May","June","July","August","September","October","November","December"},0),
        VALUE(MID(TRIM(I205),
          FIND(" ",TRIM(I205))+1,
          FIND(" ",TRIM(I205),FIND(" ",TRIM(I205))+1)-FIND(" ",TRIM(I205))-1))
      )
    )
  ),
"yyyy-mm-dd")</f>
        <v>2023-07-23</v>
      </c>
      <c r="K205" s="5" t="str">
        <f t="shared" si="28"/>
        <v>Jul</v>
      </c>
      <c r="L205">
        <v>1682303377</v>
      </c>
      <c r="M205" s="11">
        <f t="shared" si="29"/>
        <v>45040.103900462964</v>
      </c>
      <c r="O205" s="7">
        <f t="shared" si="30"/>
        <v>0</v>
      </c>
      <c r="P205" t="s">
        <v>27</v>
      </c>
      <c r="Q205" s="7" t="str">
        <f t="shared" si="31"/>
        <v xml:space="preserve">Holiday signup </v>
      </c>
    </row>
    <row r="206" spans="1:17">
      <c r="A206">
        <v>1497</v>
      </c>
      <c r="B206" t="s">
        <v>41</v>
      </c>
      <c r="C206" s="9" t="str">
        <f t="shared" si="24"/>
        <v>Lucas Silva</v>
      </c>
      <c r="D206" s="7" t="str">
        <f t="shared" si="25"/>
        <v>Lucas Silva</v>
      </c>
      <c r="E206">
        <v>43</v>
      </c>
      <c r="F206" s="7">
        <f t="shared" si="26"/>
        <v>43</v>
      </c>
      <c r="G206" t="s">
        <v>22</v>
      </c>
      <c r="H206" s="7" t="str">
        <f t="shared" si="27"/>
        <v>Germany</v>
      </c>
      <c r="I206" t="s">
        <v>285</v>
      </c>
      <c r="J206" s="7" t="str">
        <f>TEXT(
  IFERROR(
    DATEVALUE(SUBSTITUTE(SUBSTITUTE(TRIM(I206),"T"," "),"Z","")),
    IFERROR(
      DATE(
        RIGHT(TRIM(I206),4),
        MID(TRIM(I206),4,2),
        LEFT(TRIM(I206),2)
      ),
      DATE(
        VALUE(RIGHT(TRIM(I206),4)),
        MATCH(LEFT(TRIM(I206),FIND(" ",TRIM(I206))-1),
          {"January","February","March","April","May","June","July","August","September","October","November","December"},0),
        VALUE(MID(TRIM(I206),
          FIND(" ",TRIM(I206))+1,
          FIND(" ",TRIM(I206),FIND(" ",TRIM(I206))+1)-FIND(" ",TRIM(I206))-1))
      )
    )
  ),
"yyyy-mm-dd")</f>
        <v>2023-10-31</v>
      </c>
      <c r="K206" s="5" t="str">
        <f t="shared" si="28"/>
        <v>Oct</v>
      </c>
      <c r="L206">
        <v>1678561355</v>
      </c>
      <c r="M206" s="11">
        <f t="shared" si="29"/>
        <v>44996.793460648143</v>
      </c>
      <c r="N206">
        <v>1025.75</v>
      </c>
      <c r="O206" s="7">
        <f t="shared" si="30"/>
        <v>1025.75</v>
      </c>
      <c r="P206" t="s">
        <v>36</v>
      </c>
      <c r="Q206" s="7" t="str">
        <f t="shared" si="31"/>
        <v>Regular shopper</v>
      </c>
    </row>
    <row r="207" spans="1:17">
      <c r="A207">
        <v>1430</v>
      </c>
      <c r="B207" t="s">
        <v>210</v>
      </c>
      <c r="C207" s="9" t="str">
        <f t="shared" si="24"/>
        <v>Ethan Clark</v>
      </c>
      <c r="D207" s="7" t="str">
        <f t="shared" si="25"/>
        <v>Ethan Clark</v>
      </c>
      <c r="F207" s="7">
        <f t="shared" si="26"/>
        <v>43</v>
      </c>
      <c r="G207" t="s">
        <v>60</v>
      </c>
      <c r="H207" s="7" t="str">
        <f t="shared" si="27"/>
        <v>Egypt</v>
      </c>
      <c r="I207" t="s">
        <v>286</v>
      </c>
      <c r="J207" s="7" t="str">
        <f>TEXT(
  IFERROR(
    DATEVALUE(SUBSTITUTE(SUBSTITUTE(TRIM(I207),"T"," "),"Z","")),
    IFERROR(
      DATE(
        RIGHT(TRIM(I207),4),
        MID(TRIM(I207),4,2),
        LEFT(TRIM(I207),2)
      ),
      DATE(
        VALUE(RIGHT(TRIM(I207),4)),
        MATCH(LEFT(TRIM(I207),FIND(" ",TRIM(I207))-1),
          {"January","February","March","April","May","June","July","August","September","October","November","December"},0),
        VALUE(MID(TRIM(I207),
          FIND(" ",TRIM(I207))+1,
          FIND(" ",TRIM(I207),FIND(" ",TRIM(I207))+1)-FIND(" ",TRIM(I207))-1))
      )
    )
  ),
"yyyy-mm-dd")</f>
        <v>2023-03-13</v>
      </c>
      <c r="K207" s="5" t="str">
        <f t="shared" si="28"/>
        <v>Mar</v>
      </c>
      <c r="L207">
        <v>1680644882</v>
      </c>
      <c r="M207" s="11">
        <f t="shared" si="29"/>
        <v>45020.908356481479</v>
      </c>
      <c r="N207">
        <v>386.5</v>
      </c>
      <c r="O207" s="7">
        <f t="shared" si="30"/>
        <v>386.5</v>
      </c>
      <c r="P207" t="s">
        <v>118</v>
      </c>
      <c r="Q207" s="7" t="str">
        <f t="shared" si="31"/>
        <v>High engagement</v>
      </c>
    </row>
    <row r="208" spans="1:17">
      <c r="A208">
        <v>1773</v>
      </c>
      <c r="B208" t="s">
        <v>47</v>
      </c>
      <c r="C208" s="9" t="str">
        <f t="shared" si="24"/>
        <v>Li Wei</v>
      </c>
      <c r="D208" s="7" t="str">
        <f t="shared" si="25"/>
        <v>Li Wei</v>
      </c>
      <c r="E208">
        <v>48</v>
      </c>
      <c r="F208" s="7">
        <f t="shared" si="26"/>
        <v>48</v>
      </c>
      <c r="G208" t="s">
        <v>116</v>
      </c>
      <c r="H208" s="7" t="str">
        <f t="shared" si="27"/>
        <v>China</v>
      </c>
      <c r="I208" t="s">
        <v>287</v>
      </c>
      <c r="J208" s="7" t="str">
        <f>TEXT(
  IFERROR(
    DATEVALUE(SUBSTITUTE(SUBSTITUTE(TRIM(I208),"T"," "),"Z","")),
    IFERROR(
      DATE(
        RIGHT(TRIM(I208),4),
        MID(TRIM(I208),4,2),
        LEFT(TRIM(I208),2)
      ),
      DATE(
        VALUE(RIGHT(TRIM(I208),4)),
        MATCH(LEFT(TRIM(I208),FIND(" ",TRIM(I208))-1),
          {"January","February","March","April","May","June","July","August","September","October","November","December"},0),
        VALUE(MID(TRIM(I208),
          FIND(" ",TRIM(I208))+1,
          FIND(" ",TRIM(I208),FIND(" ",TRIM(I208))+1)-FIND(" ",TRIM(I208))-1))
      )
    )
  ),
"yyyy-mm-dd")</f>
        <v>2023-10-01</v>
      </c>
      <c r="K208" s="5" t="str">
        <f t="shared" si="28"/>
        <v>Oct</v>
      </c>
      <c r="L208">
        <v>1703511375</v>
      </c>
      <c r="M208" s="11">
        <f t="shared" si="29"/>
        <v>45285.566840277781</v>
      </c>
      <c r="O208" s="7">
        <f t="shared" si="30"/>
        <v>0</v>
      </c>
      <c r="P208" t="s">
        <v>46</v>
      </c>
      <c r="Q208" s="7" t="str">
        <f t="shared" si="31"/>
        <v>Corporate account</v>
      </c>
    </row>
    <row r="209" spans="1:17">
      <c r="A209">
        <v>2063</v>
      </c>
      <c r="B209" t="s">
        <v>148</v>
      </c>
      <c r="C209" s="9" t="str">
        <f t="shared" si="24"/>
        <v>Chloe Dubois</v>
      </c>
      <c r="D209" s="7" t="str">
        <f t="shared" si="25"/>
        <v>Chloe Dubois</v>
      </c>
      <c r="F209" s="7">
        <f t="shared" si="26"/>
        <v>43</v>
      </c>
      <c r="G209" t="s">
        <v>122</v>
      </c>
      <c r="H209" s="7" t="str">
        <f t="shared" si="27"/>
        <v>Italy</v>
      </c>
      <c r="I209" t="s">
        <v>288</v>
      </c>
      <c r="J209" s="7" t="str">
        <f>TEXT(
  IFERROR(
    DATEVALUE(SUBSTITUTE(SUBSTITUTE(TRIM(I209),"T"," "),"Z","")),
    IFERROR(
      DATE(
        RIGHT(TRIM(I209),4),
        MID(TRIM(I209),4,2),
        LEFT(TRIM(I209),2)
      ),
      DATE(
        VALUE(RIGHT(TRIM(I209),4)),
        MATCH(LEFT(TRIM(I209),FIND(" ",TRIM(I209))-1),
          {"January","February","March","April","May","June","July","August","September","October","November","December"},0),
        VALUE(MID(TRIM(I209),
          FIND(" ",TRIM(I209))+1,
          FIND(" ",TRIM(I209),FIND(" ",TRIM(I209))+1)-FIND(" ",TRIM(I209))-1))
      )
    )
  ),
"yyyy-mm-dd")</f>
        <v>2023-07-20</v>
      </c>
      <c r="K209" s="5" t="str">
        <f t="shared" si="28"/>
        <v>Jul</v>
      </c>
      <c r="L209">
        <v>1698439504</v>
      </c>
      <c r="M209" s="11">
        <f t="shared" si="29"/>
        <v>45226.864629629628</v>
      </c>
      <c r="N209">
        <v>1022.54</v>
      </c>
      <c r="O209" s="7">
        <f t="shared" si="30"/>
        <v>1022.54</v>
      </c>
      <c r="P209" t="s">
        <v>84</v>
      </c>
      <c r="Q209" s="7" t="str">
        <f t="shared" si="31"/>
        <v xml:space="preserve">Newsletter subscriber </v>
      </c>
    </row>
    <row r="210" spans="1:17">
      <c r="A210">
        <v>1051</v>
      </c>
      <c r="B210" t="s">
        <v>69</v>
      </c>
      <c r="C210" s="9" t="str">
        <f t="shared" si="24"/>
        <v>Isabella Martinez</v>
      </c>
      <c r="D210" s="7" t="str">
        <f t="shared" si="25"/>
        <v xml:space="preserve"> Isabella Martinez </v>
      </c>
      <c r="E210">
        <v>44</v>
      </c>
      <c r="F210" s="7">
        <f t="shared" si="26"/>
        <v>44</v>
      </c>
      <c r="G210" t="s">
        <v>18</v>
      </c>
      <c r="H210" s="7" t="str">
        <f t="shared" si="27"/>
        <v>United Kingdom</v>
      </c>
      <c r="I210" t="s">
        <v>289</v>
      </c>
      <c r="J210" s="7" t="str">
        <f>TEXT(
  IFERROR(
    DATEVALUE(SUBSTITUTE(SUBSTITUTE(TRIM(I210),"T"," "),"Z","")),
    IFERROR(
      DATE(
        RIGHT(TRIM(I210),4),
        MID(TRIM(I210),4,2),
        LEFT(TRIM(I210),2)
      ),
      DATE(
        VALUE(RIGHT(TRIM(I210),4)),
        MATCH(LEFT(TRIM(I210),FIND(" ",TRIM(I210))-1),
          {"January","February","March","April","May","June","July","August","September","October","November","December"},0),
        VALUE(MID(TRIM(I210),
          FIND(" ",TRIM(I210))+1,
          FIND(" ",TRIM(I210),FIND(" ",TRIM(I210))+1)-FIND(" ",TRIM(I210))-1))
      )
    )
  ),
"yyyy-mm-dd")</f>
        <v>2023-06-28</v>
      </c>
      <c r="K210" s="5" t="str">
        <f t="shared" si="28"/>
        <v>Jun</v>
      </c>
      <c r="L210">
        <v>1684035407</v>
      </c>
      <c r="M210" s="11">
        <f t="shared" si="29"/>
        <v>45060.150543981479</v>
      </c>
      <c r="N210">
        <v>688.45</v>
      </c>
      <c r="O210" s="7">
        <f t="shared" si="30"/>
        <v>688.45</v>
      </c>
      <c r="P210" t="s">
        <v>46</v>
      </c>
      <c r="Q210" s="7" t="str">
        <f t="shared" si="31"/>
        <v>Corporate account</v>
      </c>
    </row>
    <row r="211" spans="1:17">
      <c r="A211">
        <v>1703</v>
      </c>
      <c r="B211" t="s">
        <v>114</v>
      </c>
      <c r="C211" s="9" t="str">
        <f t="shared" si="24"/>
        <v>Liam O’Connor</v>
      </c>
      <c r="D211" s="7" t="str">
        <f t="shared" si="25"/>
        <v xml:space="preserve"> Liam O’Connor </v>
      </c>
      <c r="E211">
        <v>28</v>
      </c>
      <c r="F211" s="7">
        <f t="shared" si="26"/>
        <v>28</v>
      </c>
      <c r="G211" t="s">
        <v>67</v>
      </c>
      <c r="H211" s="7" t="str">
        <f t="shared" si="27"/>
        <v>Sweden</v>
      </c>
      <c r="I211" t="s">
        <v>254</v>
      </c>
      <c r="J211" s="7" t="str">
        <f>TEXT(
  IFERROR(
    DATEVALUE(SUBSTITUTE(SUBSTITUTE(TRIM(I211),"T"," "),"Z","")),
    IFERROR(
      DATE(
        RIGHT(TRIM(I211),4),
        MID(TRIM(I211),4,2),
        LEFT(TRIM(I211),2)
      ),
      DATE(
        VALUE(RIGHT(TRIM(I211),4)),
        MATCH(LEFT(TRIM(I211),FIND(" ",TRIM(I211))-1),
          {"January","February","March","April","May","June","July","August","September","October","November","December"},0),
        VALUE(MID(TRIM(I211),
          FIND(" ",TRIM(I211))+1,
          FIND(" ",TRIM(I211),FIND(" ",TRIM(I211))+1)-FIND(" ",TRIM(I211))-1))
      )
    )
  ),
"yyyy-mm-dd")</f>
        <v>2023-03-31</v>
      </c>
      <c r="K211" s="5" t="str">
        <f t="shared" si="28"/>
        <v>Mar</v>
      </c>
      <c r="L211">
        <v>1677897262</v>
      </c>
      <c r="M211" s="11">
        <f t="shared" si="29"/>
        <v>44989.107199074075</v>
      </c>
      <c r="O211" s="7">
        <f t="shared" si="30"/>
        <v>0</v>
      </c>
      <c r="P211" t="s">
        <v>36</v>
      </c>
      <c r="Q211" s="7" t="str">
        <f t="shared" si="31"/>
        <v>Regular shopper</v>
      </c>
    </row>
    <row r="212" spans="1:17">
      <c r="A212">
        <v>1475</v>
      </c>
      <c r="B212" t="s">
        <v>126</v>
      </c>
      <c r="C212" s="9" t="str">
        <f t="shared" si="24"/>
        <v>Noah Martin</v>
      </c>
      <c r="D212" s="7" t="str">
        <f t="shared" si="25"/>
        <v>Noah Martin</v>
      </c>
      <c r="E212">
        <v>58</v>
      </c>
      <c r="F212" s="7">
        <f t="shared" si="26"/>
        <v>58</v>
      </c>
      <c r="G212" t="s">
        <v>44</v>
      </c>
      <c r="H212" s="7" t="str">
        <f t="shared" si="27"/>
        <v>UAE</v>
      </c>
      <c r="I212" t="s">
        <v>290</v>
      </c>
      <c r="J212" s="7" t="str">
        <f>TEXT(
  IFERROR(
    DATEVALUE(SUBSTITUTE(SUBSTITUTE(TRIM(I212),"T"," "),"Z","")),
    IFERROR(
      DATE(
        RIGHT(TRIM(I212),4),
        MID(TRIM(I212),4,2),
        LEFT(TRIM(I212),2)
      ),
      DATE(
        VALUE(RIGHT(TRIM(I212),4)),
        MATCH(LEFT(TRIM(I212),FIND(" ",TRIM(I212))-1),
          {"January","February","March","April","May","June","July","August","September","October","November","December"},0),
        VALUE(MID(TRIM(I212),
          FIND(" ",TRIM(I212))+1,
          FIND(" ",TRIM(I212),FIND(" ",TRIM(I212))+1)-FIND(" ",TRIM(I212))-1))
      )
    )
  ),
"yyyy-mm-dd")</f>
        <v>2023-07-22</v>
      </c>
      <c r="K212" s="5" t="str">
        <f t="shared" si="28"/>
        <v>Jul</v>
      </c>
      <c r="L212">
        <v>1697266647</v>
      </c>
      <c r="M212" s="11">
        <f t="shared" si="29"/>
        <v>45213.289895833332</v>
      </c>
      <c r="N212">
        <v>925.02</v>
      </c>
      <c r="O212" s="7">
        <f t="shared" si="30"/>
        <v>925.02</v>
      </c>
      <c r="P212" t="s">
        <v>36</v>
      </c>
      <c r="Q212" s="7" t="str">
        <f t="shared" si="31"/>
        <v>Regular shopper</v>
      </c>
    </row>
    <row r="213" spans="1:17">
      <c r="A213">
        <v>1880</v>
      </c>
      <c r="B213" t="s">
        <v>198</v>
      </c>
      <c r="C213" s="9" t="str">
        <f t="shared" si="24"/>
        <v>Noah Martin</v>
      </c>
      <c r="D213" s="7" t="str">
        <f t="shared" si="25"/>
        <v xml:space="preserve"> Noah Martin </v>
      </c>
      <c r="F213" s="7">
        <f t="shared" si="26"/>
        <v>43</v>
      </c>
      <c r="G213" t="s">
        <v>29</v>
      </c>
      <c r="H213" s="7" t="str">
        <f t="shared" si="27"/>
        <v>United States</v>
      </c>
      <c r="I213" t="s">
        <v>291</v>
      </c>
      <c r="J213" s="7" t="str">
        <f>TEXT(
  IFERROR(
    DATEVALUE(SUBSTITUTE(SUBSTITUTE(TRIM(I213),"T"," "),"Z","")),
    IFERROR(
      DATE(
        RIGHT(TRIM(I213),4),
        MID(TRIM(I213),4,2),
        LEFT(TRIM(I213),2)
      ),
      DATE(
        VALUE(RIGHT(TRIM(I213),4)),
        MATCH(LEFT(TRIM(I213),FIND(" ",TRIM(I213))-1),
          {"January","February","March","April","May","June","July","August","September","October","November","December"},0),
        VALUE(MID(TRIM(I213),
          FIND(" ",TRIM(I213))+1,
          FIND(" ",TRIM(I213),FIND(" ",TRIM(I213))+1)-FIND(" ",TRIM(I213))-1))
      )
    )
  ),
"yyyy-mm-dd")</f>
        <v>2023-10-23</v>
      </c>
      <c r="K213" s="5" t="str">
        <f t="shared" si="28"/>
        <v>Oct</v>
      </c>
      <c r="L213">
        <v>1699350847</v>
      </c>
      <c r="M213" s="11">
        <f t="shared" si="29"/>
        <v>45237.412581018521</v>
      </c>
      <c r="N213">
        <v>1309.25</v>
      </c>
      <c r="O213" s="7">
        <f t="shared" si="30"/>
        <v>1309.25</v>
      </c>
      <c r="P213" t="s">
        <v>84</v>
      </c>
      <c r="Q213" s="7" t="str">
        <f t="shared" si="31"/>
        <v xml:space="preserve">Newsletter subscriber </v>
      </c>
    </row>
    <row r="214" spans="1:17">
      <c r="A214">
        <v>1668</v>
      </c>
      <c r="B214" t="s">
        <v>104</v>
      </c>
      <c r="C214" s="9" t="str">
        <f t="shared" si="24"/>
        <v>David Brown</v>
      </c>
      <c r="D214" s="7" t="str">
        <f t="shared" si="25"/>
        <v>David Brown</v>
      </c>
      <c r="F214" s="7">
        <f t="shared" si="26"/>
        <v>43</v>
      </c>
      <c r="G214" t="s">
        <v>67</v>
      </c>
      <c r="H214" s="7" t="str">
        <f t="shared" si="27"/>
        <v>Sweden</v>
      </c>
      <c r="I214" t="s">
        <v>257</v>
      </c>
      <c r="J214" s="7" t="str">
        <f>TEXT(
  IFERROR(
    DATEVALUE(SUBSTITUTE(SUBSTITUTE(TRIM(I214),"T"," "),"Z","")),
    IFERROR(
      DATE(
        RIGHT(TRIM(I214),4),
        MID(TRIM(I214),4,2),
        LEFT(TRIM(I214),2)
      ),
      DATE(
        VALUE(RIGHT(TRIM(I214),4)),
        MATCH(LEFT(TRIM(I214),FIND(" ",TRIM(I214))-1),
          {"January","February","March","April","May","June","July","August","September","October","November","December"},0),
        VALUE(MID(TRIM(I214),
          FIND(" ",TRIM(I214))+1,
          FIND(" ",TRIM(I214),FIND(" ",TRIM(I214))+1)-FIND(" ",TRIM(I214))-1))
      )
    )
  ),
"yyyy-mm-dd")</f>
        <v>2023-11-24</v>
      </c>
      <c r="K214" s="5" t="str">
        <f t="shared" si="28"/>
        <v>Nov</v>
      </c>
      <c r="L214">
        <v>1692555017</v>
      </c>
      <c r="M214" s="11">
        <f t="shared" si="29"/>
        <v>45158.757141203707</v>
      </c>
      <c r="O214" s="7">
        <f t="shared" si="30"/>
        <v>0</v>
      </c>
      <c r="P214" t="s">
        <v>27</v>
      </c>
      <c r="Q214" s="7" t="str">
        <f t="shared" si="31"/>
        <v xml:space="preserve">Holiday signup </v>
      </c>
    </row>
    <row r="215" spans="1:17">
      <c r="A215">
        <v>1234</v>
      </c>
      <c r="B215" t="s">
        <v>90</v>
      </c>
      <c r="C215" s="9" t="str">
        <f t="shared" si="24"/>
        <v>Olivia Wilson</v>
      </c>
      <c r="D215" s="7" t="str">
        <f t="shared" si="25"/>
        <v>Olivia Wilson</v>
      </c>
      <c r="E215">
        <v>47</v>
      </c>
      <c r="F215" s="7">
        <f t="shared" si="26"/>
        <v>47</v>
      </c>
      <c r="G215" t="s">
        <v>102</v>
      </c>
      <c r="H215" s="7" t="str">
        <f t="shared" si="27"/>
        <v>Mexico</v>
      </c>
      <c r="I215" t="s">
        <v>203</v>
      </c>
      <c r="J215" s="7" t="str">
        <f>TEXT(
  IFERROR(
    DATEVALUE(SUBSTITUTE(SUBSTITUTE(TRIM(I215),"T"," "),"Z","")),
    IFERROR(
      DATE(
        RIGHT(TRIM(I215),4),
        MID(TRIM(I215),4,2),
        LEFT(TRIM(I215),2)
      ),
      DATE(
        VALUE(RIGHT(TRIM(I215),4)),
        MATCH(LEFT(TRIM(I215),FIND(" ",TRIM(I215))-1),
          {"January","February","March","April","May","June","July","August","September","October","November","December"},0),
        VALUE(MID(TRIM(I215),
          FIND(" ",TRIM(I215))+1,
          FIND(" ",TRIM(I215),FIND(" ",TRIM(I215))+1)-FIND(" ",TRIM(I215))-1))
      )
    )
  ),
"yyyy-mm-dd")</f>
        <v>2023-11-11</v>
      </c>
      <c r="K215" s="5" t="str">
        <f t="shared" si="28"/>
        <v>Nov</v>
      </c>
      <c r="L215">
        <v>1675367804</v>
      </c>
      <c r="M215" s="11">
        <f t="shared" si="29"/>
        <v>44959.831064814818</v>
      </c>
      <c r="O215" s="7">
        <f t="shared" si="30"/>
        <v>0</v>
      </c>
      <c r="P215" t="s">
        <v>52</v>
      </c>
      <c r="Q215" s="7" t="str">
        <f t="shared" si="31"/>
        <v xml:space="preserve">Prefers email </v>
      </c>
    </row>
    <row r="216" spans="1:17">
      <c r="A216">
        <v>1489</v>
      </c>
      <c r="B216" t="s">
        <v>240</v>
      </c>
      <c r="C216" s="9" t="str">
        <f t="shared" si="24"/>
        <v>Fatima Ali</v>
      </c>
      <c r="D216" s="7" t="str">
        <f t="shared" si="25"/>
        <v xml:space="preserve"> Fatima Ali </v>
      </c>
      <c r="E216">
        <v>41</v>
      </c>
      <c r="F216" s="7">
        <f t="shared" si="26"/>
        <v>41</v>
      </c>
      <c r="G216" t="s">
        <v>67</v>
      </c>
      <c r="H216" s="7" t="str">
        <f t="shared" si="27"/>
        <v>Sweden</v>
      </c>
      <c r="I216" t="s">
        <v>292</v>
      </c>
      <c r="J216" s="7" t="str">
        <f>TEXT(
  IFERROR(
    DATEVALUE(SUBSTITUTE(SUBSTITUTE(TRIM(I216),"T"," "),"Z","")),
    IFERROR(
      DATE(
        RIGHT(TRIM(I216),4),
        MID(TRIM(I216),4,2),
        LEFT(TRIM(I216),2)
      ),
      DATE(
        VALUE(RIGHT(TRIM(I216),4)),
        MATCH(LEFT(TRIM(I216),FIND(" ",TRIM(I216))-1),
          {"January","February","March","April","May","June","July","August","September","October","November","December"},0),
        VALUE(MID(TRIM(I216),
          FIND(" ",TRIM(I216))+1,
          FIND(" ",TRIM(I216),FIND(" ",TRIM(I216))+1)-FIND(" ",TRIM(I216))-1))
      )
    )
  ),
"yyyy-mm-dd")</f>
        <v>2023-07-18</v>
      </c>
      <c r="K216" s="5" t="str">
        <f t="shared" si="28"/>
        <v>Jul</v>
      </c>
      <c r="L216">
        <v>1692536729</v>
      </c>
      <c r="M216" s="11">
        <f t="shared" si="29"/>
        <v>45158.545474537037</v>
      </c>
      <c r="O216" s="7">
        <f t="shared" si="30"/>
        <v>0</v>
      </c>
      <c r="P216" t="s">
        <v>118</v>
      </c>
      <c r="Q216" s="7" t="str">
        <f t="shared" si="31"/>
        <v>High engagement</v>
      </c>
    </row>
    <row r="217" spans="1:17">
      <c r="A217">
        <v>1381</v>
      </c>
      <c r="B217" t="s">
        <v>131</v>
      </c>
      <c r="C217" s="9" t="str">
        <f t="shared" si="24"/>
        <v>Isabella Martinez</v>
      </c>
      <c r="D217" s="7" t="str">
        <f t="shared" si="25"/>
        <v>Isabella Martinez</v>
      </c>
      <c r="E217">
        <v>62</v>
      </c>
      <c r="F217" s="7">
        <f t="shared" si="26"/>
        <v>62</v>
      </c>
      <c r="G217" t="s">
        <v>62</v>
      </c>
      <c r="H217" s="7" t="str">
        <f t="shared" si="27"/>
        <v>Ireland</v>
      </c>
      <c r="I217" t="s">
        <v>221</v>
      </c>
      <c r="J217" s="7" t="str">
        <f>TEXT(
  IFERROR(
    DATEVALUE(SUBSTITUTE(SUBSTITUTE(TRIM(I217),"T"," "),"Z","")),
    IFERROR(
      DATE(
        RIGHT(TRIM(I217),4),
        MID(TRIM(I217),4,2),
        LEFT(TRIM(I217),2)
      ),
      DATE(
        VALUE(RIGHT(TRIM(I217),4)),
        MATCH(LEFT(TRIM(I217),FIND(" ",TRIM(I217))-1),
          {"January","February","March","April","May","June","July","August","September","October","November","December"},0),
        VALUE(MID(TRIM(I217),
          FIND(" ",TRIM(I217))+1,
          FIND(" ",TRIM(I217),FIND(" ",TRIM(I217))+1)-FIND(" ",TRIM(I217))-1))
      )
    )
  ),
"yyyy-mm-dd")</f>
        <v>2023-03-27</v>
      </c>
      <c r="K217" s="5" t="str">
        <f t="shared" si="28"/>
        <v>Mar</v>
      </c>
      <c r="L217">
        <v>1682215686</v>
      </c>
      <c r="M217" s="11">
        <f t="shared" si="29"/>
        <v>45039.088958333334</v>
      </c>
      <c r="O217" s="7">
        <f t="shared" si="30"/>
        <v>0</v>
      </c>
      <c r="P217" t="s">
        <v>36</v>
      </c>
      <c r="Q217" s="7" t="str">
        <f t="shared" si="31"/>
        <v>Regular shopper</v>
      </c>
    </row>
    <row r="218" spans="1:17">
      <c r="A218">
        <v>1110</v>
      </c>
      <c r="B218" t="s">
        <v>90</v>
      </c>
      <c r="C218" s="9" t="str">
        <f t="shared" si="24"/>
        <v>Olivia Wilson</v>
      </c>
      <c r="D218" s="7" t="str">
        <f t="shared" si="25"/>
        <v>Olivia Wilson</v>
      </c>
      <c r="E218">
        <v>49</v>
      </c>
      <c r="F218" s="7">
        <f t="shared" si="26"/>
        <v>49</v>
      </c>
      <c r="G218" t="s">
        <v>116</v>
      </c>
      <c r="H218" s="7" t="str">
        <f t="shared" si="27"/>
        <v>China</v>
      </c>
      <c r="I218" t="s">
        <v>293</v>
      </c>
      <c r="J218" s="7" t="str">
        <f>TEXT(
  IFERROR(
    DATEVALUE(SUBSTITUTE(SUBSTITUTE(TRIM(I218),"T"," "),"Z","")),
    IFERROR(
      DATE(
        RIGHT(TRIM(I218),4),
        MID(TRIM(I218),4,2),
        LEFT(TRIM(I218),2)
      ),
      DATE(
        VALUE(RIGHT(TRIM(I218),4)),
        MATCH(LEFT(TRIM(I218),FIND(" ",TRIM(I218))-1),
          {"January","February","March","April","May","June","July","August","September","October","November","December"},0),
        VALUE(MID(TRIM(I218),
          FIND(" ",TRIM(I218))+1,
          FIND(" ",TRIM(I218),FIND(" ",TRIM(I218))+1)-FIND(" ",TRIM(I218))-1))
      )
    )
  ),
"yyyy-mm-dd")</f>
        <v>2023-10-15</v>
      </c>
      <c r="K218" s="5" t="str">
        <f t="shared" si="28"/>
        <v>Oct</v>
      </c>
      <c r="L218">
        <v>1694437384</v>
      </c>
      <c r="M218" s="11">
        <f t="shared" si="29"/>
        <v>45180.543796296297</v>
      </c>
      <c r="O218" s="7">
        <f t="shared" si="30"/>
        <v>0</v>
      </c>
      <c r="P218" t="s">
        <v>118</v>
      </c>
      <c r="Q218" s="7" t="str">
        <f t="shared" si="31"/>
        <v>High engagement</v>
      </c>
    </row>
    <row r="219" spans="1:17">
      <c r="A219">
        <v>1910</v>
      </c>
      <c r="B219" t="s">
        <v>69</v>
      </c>
      <c r="C219" s="9" t="str">
        <f t="shared" si="24"/>
        <v>Isabella Martinez</v>
      </c>
      <c r="D219" s="7" t="str">
        <f t="shared" si="25"/>
        <v xml:space="preserve"> Isabella Martinez </v>
      </c>
      <c r="E219">
        <v>54</v>
      </c>
      <c r="F219" s="7">
        <f t="shared" si="26"/>
        <v>54</v>
      </c>
      <c r="G219" t="s">
        <v>102</v>
      </c>
      <c r="H219" s="7" t="str">
        <f t="shared" si="27"/>
        <v>Mexico</v>
      </c>
      <c r="I219" t="s">
        <v>294</v>
      </c>
      <c r="J219" s="7" t="str">
        <f>TEXT(
  IFERROR(
    DATEVALUE(SUBSTITUTE(SUBSTITUTE(TRIM(I219),"T"," "),"Z","")),
    IFERROR(
      DATE(
        RIGHT(TRIM(I219),4),
        MID(TRIM(I219),4,2),
        LEFT(TRIM(I219),2)
      ),
      DATE(
        VALUE(RIGHT(TRIM(I219),4)),
        MATCH(LEFT(TRIM(I219),FIND(" ",TRIM(I219))-1),
          {"January","February","March","April","May","June","July","August","September","October","November","December"},0),
        VALUE(MID(TRIM(I219),
          FIND(" ",TRIM(I219))+1,
          FIND(" ",TRIM(I219),FIND(" ",TRIM(I219))+1)-FIND(" ",TRIM(I219))-1))
      )
    )
  ),
"yyyy-mm-dd")</f>
        <v>2023-01-17</v>
      </c>
      <c r="K219" s="5" t="str">
        <f t="shared" si="28"/>
        <v>Jan</v>
      </c>
      <c r="L219">
        <v>1680068493</v>
      </c>
      <c r="M219" s="11">
        <f t="shared" si="29"/>
        <v>45014.237187499995</v>
      </c>
      <c r="N219">
        <v>811.04</v>
      </c>
      <c r="O219" s="7">
        <f t="shared" si="30"/>
        <v>811.04</v>
      </c>
      <c r="P219" t="s">
        <v>36</v>
      </c>
      <c r="Q219" s="7" t="str">
        <f t="shared" si="31"/>
        <v>Regular shopper</v>
      </c>
    </row>
    <row r="220" spans="1:17">
      <c r="A220">
        <v>1086</v>
      </c>
      <c r="B220" t="s">
        <v>82</v>
      </c>
      <c r="C220" s="9" t="str">
        <f t="shared" si="24"/>
        <v>Björn Larsson</v>
      </c>
      <c r="D220" s="7" t="str">
        <f t="shared" si="25"/>
        <v>Björn Larsson</v>
      </c>
      <c r="F220" s="7">
        <f t="shared" si="26"/>
        <v>43</v>
      </c>
      <c r="G220" t="s">
        <v>18</v>
      </c>
      <c r="H220" s="7" t="str">
        <f t="shared" si="27"/>
        <v>United Kingdom</v>
      </c>
      <c r="I220" t="s">
        <v>295</v>
      </c>
      <c r="J220" s="7" t="str">
        <f>TEXT(
  IFERROR(
    DATEVALUE(SUBSTITUTE(SUBSTITUTE(TRIM(I220),"T"," "),"Z","")),
    IFERROR(
      DATE(
        RIGHT(TRIM(I220),4),
        MID(TRIM(I220),4,2),
        LEFT(TRIM(I220),2)
      ),
      DATE(
        VALUE(RIGHT(TRIM(I220),4)),
        MATCH(LEFT(TRIM(I220),FIND(" ",TRIM(I220))-1),
          {"January","February","March","April","May","June","July","August","September","October","November","December"},0),
        VALUE(MID(TRIM(I220),
          FIND(" ",TRIM(I220))+1,
          FIND(" ",TRIM(I220),FIND(" ",TRIM(I220))+1)-FIND(" ",TRIM(I220))-1))
      )
    )
  ),
"yyyy-mm-dd")</f>
        <v>2023-12-01</v>
      </c>
      <c r="K220" s="5" t="str">
        <f t="shared" si="28"/>
        <v>Dec</v>
      </c>
      <c r="L220">
        <v>1682513454</v>
      </c>
      <c r="M220" s="11">
        <f t="shared" si="29"/>
        <v>45042.53534722222</v>
      </c>
      <c r="N220">
        <v>1313.47</v>
      </c>
      <c r="O220" s="7">
        <f t="shared" si="30"/>
        <v>1313.47</v>
      </c>
      <c r="P220" t="s">
        <v>36</v>
      </c>
      <c r="Q220" s="7" t="str">
        <f t="shared" si="31"/>
        <v>Regular shopper</v>
      </c>
    </row>
    <row r="221" spans="1:17">
      <c r="A221">
        <v>1539</v>
      </c>
      <c r="B221" t="s">
        <v>90</v>
      </c>
      <c r="C221" s="9" t="str">
        <f t="shared" si="24"/>
        <v>Olivia Wilson</v>
      </c>
      <c r="D221" s="7" t="str">
        <f t="shared" si="25"/>
        <v>Olivia Wilson</v>
      </c>
      <c r="E221">
        <v>23</v>
      </c>
      <c r="F221" s="7">
        <f t="shared" si="26"/>
        <v>23</v>
      </c>
      <c r="G221" t="s">
        <v>38</v>
      </c>
      <c r="H221" s="7" t="str">
        <f t="shared" si="27"/>
        <v>Spain</v>
      </c>
      <c r="I221" t="s">
        <v>296</v>
      </c>
      <c r="J221" s="7" t="str">
        <f>TEXT(
  IFERROR(
    DATEVALUE(SUBSTITUTE(SUBSTITUTE(TRIM(I221),"T"," "),"Z","")),
    IFERROR(
      DATE(
        RIGHT(TRIM(I221),4),
        MID(TRIM(I221),4,2),
        LEFT(TRIM(I221),2)
      ),
      DATE(
        VALUE(RIGHT(TRIM(I221),4)),
        MATCH(LEFT(TRIM(I221),FIND(" ",TRIM(I221))-1),
          {"January","February","March","April","May","June","July","August","September","October","November","December"},0),
        VALUE(MID(TRIM(I221),
          FIND(" ",TRIM(I221))+1,
          FIND(" ",TRIM(I221),FIND(" ",TRIM(I221))+1)-FIND(" ",TRIM(I221))-1))
      )
    )
  ),
"yyyy-mm-dd")</f>
        <v>2023-04-18</v>
      </c>
      <c r="K221" s="5" t="str">
        <f t="shared" si="28"/>
        <v>Apr</v>
      </c>
      <c r="L221">
        <v>1695647486</v>
      </c>
      <c r="M221" s="11">
        <f t="shared" si="29"/>
        <v>45194.54960648148</v>
      </c>
      <c r="O221" s="7">
        <f t="shared" si="30"/>
        <v>0</v>
      </c>
      <c r="P221" t="s">
        <v>33</v>
      </c>
      <c r="Q221" s="7" t="str">
        <f t="shared" si="31"/>
        <v>Frequent buyer n</v>
      </c>
    </row>
    <row r="222" spans="1:17">
      <c r="A222">
        <v>1286</v>
      </c>
      <c r="B222" t="s">
        <v>104</v>
      </c>
      <c r="C222" s="9" t="str">
        <f t="shared" si="24"/>
        <v>David Brown</v>
      </c>
      <c r="D222" s="7" t="str">
        <f t="shared" si="25"/>
        <v>David Brown</v>
      </c>
      <c r="F222" s="7">
        <f t="shared" si="26"/>
        <v>43</v>
      </c>
      <c r="G222" t="s">
        <v>62</v>
      </c>
      <c r="H222" s="7" t="str">
        <f t="shared" si="27"/>
        <v>Ireland</v>
      </c>
      <c r="I222" t="s">
        <v>297</v>
      </c>
      <c r="J222" s="7" t="str">
        <f>TEXT(
  IFERROR(
    DATEVALUE(SUBSTITUTE(SUBSTITUTE(TRIM(I222),"T"," "),"Z","")),
    IFERROR(
      DATE(
        RIGHT(TRIM(I222),4),
        MID(TRIM(I222),4,2),
        LEFT(TRIM(I222),2)
      ),
      DATE(
        VALUE(RIGHT(TRIM(I222),4)),
        MATCH(LEFT(TRIM(I222),FIND(" ",TRIM(I222))-1),
          {"January","February","March","April","May","June","July","August","September","October","November","December"},0),
        VALUE(MID(TRIM(I222),
          FIND(" ",TRIM(I222))+1,
          FIND(" ",TRIM(I222),FIND(" ",TRIM(I222))+1)-FIND(" ",TRIM(I222))-1))
      )
    )
  ),
"yyyy-mm-dd")</f>
        <v>2023-05-24</v>
      </c>
      <c r="K222" s="5" t="str">
        <f t="shared" si="28"/>
        <v>May</v>
      </c>
      <c r="L222">
        <v>1690602072</v>
      </c>
      <c r="M222" s="11">
        <f t="shared" si="29"/>
        <v>45136.153611111113</v>
      </c>
      <c r="O222" s="7">
        <f t="shared" si="30"/>
        <v>0</v>
      </c>
      <c r="P222" t="s">
        <v>58</v>
      </c>
      <c r="Q222" s="7" t="str">
        <f t="shared" si="31"/>
        <v>Student account</v>
      </c>
    </row>
    <row r="223" spans="1:17">
      <c r="A223">
        <v>2173</v>
      </c>
      <c r="B223" t="s">
        <v>37</v>
      </c>
      <c r="C223" s="9" t="str">
        <f t="shared" si="24"/>
        <v>Akira Tanaka</v>
      </c>
      <c r="D223" s="7" t="str">
        <f t="shared" si="25"/>
        <v>Akira Tanaka</v>
      </c>
      <c r="E223">
        <v>50</v>
      </c>
      <c r="F223" s="7">
        <f t="shared" si="26"/>
        <v>50</v>
      </c>
      <c r="G223" t="s">
        <v>18</v>
      </c>
      <c r="H223" s="7" t="str">
        <f t="shared" si="27"/>
        <v>United Kingdom</v>
      </c>
      <c r="I223" t="s">
        <v>298</v>
      </c>
      <c r="J223" s="7" t="str">
        <f>TEXT(
  IFERROR(
    DATEVALUE(SUBSTITUTE(SUBSTITUTE(TRIM(I223),"T"," "),"Z","")),
    IFERROR(
      DATE(
        RIGHT(TRIM(I223),4),
        MID(TRIM(I223),4,2),
        LEFT(TRIM(I223),2)
      ),
      DATE(
        VALUE(RIGHT(TRIM(I223),4)),
        MATCH(LEFT(TRIM(I223),FIND(" ",TRIM(I223))-1),
          {"January","February","March","April","May","June","July","August","September","October","November","December"},0),
        VALUE(MID(TRIM(I223),
          FIND(" ",TRIM(I223))+1,
          FIND(" ",TRIM(I223),FIND(" ",TRIM(I223))+1)-FIND(" ",TRIM(I223))-1))
      )
    )
  ),
"yyyy-mm-dd")</f>
        <v>2023-07-30</v>
      </c>
      <c r="K223" s="5" t="str">
        <f t="shared" si="28"/>
        <v>Jul</v>
      </c>
      <c r="L223">
        <v>1681829433</v>
      </c>
      <c r="M223" s="11">
        <f t="shared" si="29"/>
        <v>45034.618437500001</v>
      </c>
      <c r="N223">
        <v>1301.9000000000001</v>
      </c>
      <c r="O223" s="7">
        <f t="shared" si="30"/>
        <v>1301.9000000000001</v>
      </c>
      <c r="P223" t="s">
        <v>33</v>
      </c>
      <c r="Q223" s="7" t="str">
        <f t="shared" si="31"/>
        <v>Frequent buyer n</v>
      </c>
    </row>
    <row r="224" spans="1:17">
      <c r="A224">
        <v>1006</v>
      </c>
      <c r="B224" t="s">
        <v>82</v>
      </c>
      <c r="C224" s="9" t="str">
        <f t="shared" si="24"/>
        <v>Björn Larsson</v>
      </c>
      <c r="D224" s="7" t="str">
        <f t="shared" si="25"/>
        <v>Björn Larsson</v>
      </c>
      <c r="F224" s="7">
        <f t="shared" si="26"/>
        <v>43</v>
      </c>
      <c r="G224" t="s">
        <v>122</v>
      </c>
      <c r="H224" s="7" t="str">
        <f t="shared" si="27"/>
        <v>Italy</v>
      </c>
      <c r="I224" t="s">
        <v>299</v>
      </c>
      <c r="J224" s="7" t="str">
        <f>TEXT(
  IFERROR(
    DATEVALUE(SUBSTITUTE(SUBSTITUTE(TRIM(I224),"T"," "),"Z","")),
    IFERROR(
      DATE(
        RIGHT(TRIM(I224),4),
        MID(TRIM(I224),4,2),
        LEFT(TRIM(I224),2)
      ),
      DATE(
        VALUE(RIGHT(TRIM(I224),4)),
        MATCH(LEFT(TRIM(I224),FIND(" ",TRIM(I224))-1),
          {"January","February","March","April","May","June","July","August","September","October","November","December"},0),
        VALUE(MID(TRIM(I224),
          FIND(" ",TRIM(I224))+1,
          FIND(" ",TRIM(I224),FIND(" ",TRIM(I224))+1)-FIND(" ",TRIM(I224))-1))
      )
    )
  ),
"yyyy-mm-dd")</f>
        <v>2023-02-02</v>
      </c>
      <c r="K224" s="5" t="str">
        <f t="shared" si="28"/>
        <v>Feb</v>
      </c>
      <c r="L224">
        <v>1685869130</v>
      </c>
      <c r="M224" s="11">
        <f t="shared" si="29"/>
        <v>45081.374189814815</v>
      </c>
      <c r="O224" s="7">
        <f t="shared" si="30"/>
        <v>0</v>
      </c>
      <c r="P224" t="s">
        <v>40</v>
      </c>
      <c r="Q224" s="7" t="str">
        <f t="shared" si="31"/>
        <v xml:space="preserve">VIP client </v>
      </c>
    </row>
    <row r="225" spans="1:17">
      <c r="A225">
        <v>2014</v>
      </c>
      <c r="B225" t="s">
        <v>37</v>
      </c>
      <c r="C225" s="9" t="str">
        <f t="shared" si="24"/>
        <v>Akira Tanaka</v>
      </c>
      <c r="D225" s="7" t="str">
        <f t="shared" si="25"/>
        <v>Akira Tanaka</v>
      </c>
      <c r="E225">
        <v>39</v>
      </c>
      <c r="F225" s="7">
        <f t="shared" si="26"/>
        <v>39</v>
      </c>
      <c r="G225" t="s">
        <v>18</v>
      </c>
      <c r="H225" s="7" t="str">
        <f t="shared" si="27"/>
        <v>United Kingdom</v>
      </c>
      <c r="I225" t="s">
        <v>300</v>
      </c>
      <c r="J225" s="7" t="str">
        <f>TEXT(
  IFERROR(
    DATEVALUE(SUBSTITUTE(SUBSTITUTE(TRIM(I225),"T"," "),"Z","")),
    IFERROR(
      DATE(
        RIGHT(TRIM(I225),4),
        MID(TRIM(I225),4,2),
        LEFT(TRIM(I225),2)
      ),
      DATE(
        VALUE(RIGHT(TRIM(I225),4)),
        MATCH(LEFT(TRIM(I225),FIND(" ",TRIM(I225))-1),
          {"January","February","March","April","May","June","July","August","September","October","November","December"},0),
        VALUE(MID(TRIM(I225),
          FIND(" ",TRIM(I225))+1,
          FIND(" ",TRIM(I225),FIND(" ",TRIM(I225))+1)-FIND(" ",TRIM(I225))-1))
      )
    )
  ),
"yyyy-mm-dd")</f>
        <v>2023-10-17</v>
      </c>
      <c r="K225" s="5" t="str">
        <f t="shared" si="28"/>
        <v>Oct</v>
      </c>
      <c r="L225">
        <v>1698975081</v>
      </c>
      <c r="M225" s="11">
        <f t="shared" si="29"/>
        <v>45233.063437500001</v>
      </c>
      <c r="N225">
        <v>522.16999999999996</v>
      </c>
      <c r="O225" s="7">
        <f t="shared" si="30"/>
        <v>522.16999999999996</v>
      </c>
      <c r="P225" t="s">
        <v>20</v>
      </c>
      <c r="Q225" s="7" t="str">
        <f t="shared" si="31"/>
        <v xml:space="preserve">Great customer </v>
      </c>
    </row>
    <row r="226" spans="1:17">
      <c r="A226">
        <v>1204</v>
      </c>
      <c r="B226" t="s">
        <v>185</v>
      </c>
      <c r="C226" s="9" t="str">
        <f t="shared" si="24"/>
        <v>Liam O’Connor</v>
      </c>
      <c r="D226" s="7" t="str">
        <f t="shared" si="25"/>
        <v>Liam O’Connor</v>
      </c>
      <c r="E226">
        <v>47</v>
      </c>
      <c r="F226" s="7">
        <f t="shared" si="26"/>
        <v>47</v>
      </c>
      <c r="G226" t="s">
        <v>48</v>
      </c>
      <c r="H226" s="7" t="str">
        <f t="shared" si="27"/>
        <v>France</v>
      </c>
      <c r="I226" t="s">
        <v>301</v>
      </c>
      <c r="J226" s="7" t="str">
        <f>TEXT(
  IFERROR(
    DATEVALUE(SUBSTITUTE(SUBSTITUTE(TRIM(I226),"T"," "),"Z","")),
    IFERROR(
      DATE(
        RIGHT(TRIM(I226),4),
        MID(TRIM(I226),4,2),
        LEFT(TRIM(I226),2)
      ),
      DATE(
        VALUE(RIGHT(TRIM(I226),4)),
        MATCH(LEFT(TRIM(I226),FIND(" ",TRIM(I226))-1),
          {"January","February","March","April","May","June","July","August","September","October","November","December"},0),
        VALUE(MID(TRIM(I226),
          FIND(" ",TRIM(I226))+1,
          FIND(" ",TRIM(I226),FIND(" ",TRIM(I226))+1)-FIND(" ",TRIM(I226))-1))
      )
    )
  ),
"yyyy-mm-dd")</f>
        <v>2023-08-14</v>
      </c>
      <c r="K226" s="5" t="str">
        <f t="shared" si="28"/>
        <v>Aug</v>
      </c>
      <c r="L226">
        <v>1672546680</v>
      </c>
      <c r="M226" s="11">
        <f t="shared" si="29"/>
        <v>44927.179166666669</v>
      </c>
      <c r="O226" s="7">
        <f t="shared" si="30"/>
        <v>0</v>
      </c>
      <c r="P226" t="s">
        <v>40</v>
      </c>
      <c r="Q226" s="7" t="str">
        <f t="shared" si="31"/>
        <v xml:space="preserve">VIP client </v>
      </c>
    </row>
    <row r="227" spans="1:17">
      <c r="A227">
        <v>1812</v>
      </c>
      <c r="B227" t="s">
        <v>185</v>
      </c>
      <c r="C227" s="9" t="str">
        <f t="shared" si="24"/>
        <v>Liam O’Connor</v>
      </c>
      <c r="D227" s="7" t="str">
        <f t="shared" si="25"/>
        <v>Liam O’Connor</v>
      </c>
      <c r="F227" s="7">
        <f t="shared" si="26"/>
        <v>43</v>
      </c>
      <c r="G227" t="s">
        <v>29</v>
      </c>
      <c r="H227" s="7" t="str">
        <f t="shared" si="27"/>
        <v>United States</v>
      </c>
      <c r="I227" t="s">
        <v>302</v>
      </c>
      <c r="J227" s="7" t="str">
        <f>TEXT(
  IFERROR(
    DATEVALUE(SUBSTITUTE(SUBSTITUTE(TRIM(I227),"T"," "),"Z","")),
    IFERROR(
      DATE(
        RIGHT(TRIM(I227),4),
        MID(TRIM(I227),4,2),
        LEFT(TRIM(I227),2)
      ),
      DATE(
        VALUE(RIGHT(TRIM(I227),4)),
        MATCH(LEFT(TRIM(I227),FIND(" ",TRIM(I227))-1),
          {"January","February","March","April","May","June","July","August","September","October","November","December"},0),
        VALUE(MID(TRIM(I227),
          FIND(" ",TRIM(I227))+1,
          FIND(" ",TRIM(I227),FIND(" ",TRIM(I227))+1)-FIND(" ",TRIM(I227))-1))
      )
    )
  ),
"yyyy-mm-dd")</f>
        <v>2023-12-27</v>
      </c>
      <c r="K227" s="5" t="str">
        <f t="shared" si="28"/>
        <v>Dec</v>
      </c>
      <c r="L227">
        <v>1672560450</v>
      </c>
      <c r="M227" s="11">
        <f t="shared" si="29"/>
        <v>44927.338541666672</v>
      </c>
      <c r="N227">
        <v>328</v>
      </c>
      <c r="O227" s="7">
        <f t="shared" si="30"/>
        <v>328</v>
      </c>
      <c r="P227" t="s">
        <v>33</v>
      </c>
      <c r="Q227" s="7" t="str">
        <f t="shared" si="31"/>
        <v>Frequent buyer n</v>
      </c>
    </row>
    <row r="228" spans="1:17">
      <c r="A228">
        <v>1464</v>
      </c>
      <c r="B228" t="s">
        <v>80</v>
      </c>
      <c r="C228" s="9" t="str">
        <f t="shared" si="24"/>
        <v>Ahmed Hassan</v>
      </c>
      <c r="D228" s="7" t="str">
        <f t="shared" si="25"/>
        <v>Ahmed Hassan</v>
      </c>
      <c r="E228">
        <v>18</v>
      </c>
      <c r="F228" s="7">
        <f t="shared" si="26"/>
        <v>18</v>
      </c>
      <c r="G228" t="s">
        <v>25</v>
      </c>
      <c r="H228" s="7" t="str">
        <f t="shared" si="27"/>
        <v>Japan</v>
      </c>
      <c r="I228" t="s">
        <v>303</v>
      </c>
      <c r="J228" s="7" t="str">
        <f>TEXT(
  IFERROR(
    DATEVALUE(SUBSTITUTE(SUBSTITUTE(TRIM(I228),"T"," "),"Z","")),
    IFERROR(
      DATE(
        RIGHT(TRIM(I228),4),
        MID(TRIM(I228),4,2),
        LEFT(TRIM(I228),2)
      ),
      DATE(
        VALUE(RIGHT(TRIM(I228),4)),
        MATCH(LEFT(TRIM(I228),FIND(" ",TRIM(I228))-1),
          {"January","February","March","April","May","June","July","August","September","October","November","December"},0),
        VALUE(MID(TRIM(I228),
          FIND(" ",TRIM(I228))+1,
          FIND(" ",TRIM(I228),FIND(" ",TRIM(I228))+1)-FIND(" ",TRIM(I228))-1))
      )
    )
  ),
"yyyy-mm-dd")</f>
        <v>2023-03-03</v>
      </c>
      <c r="K228" s="5" t="str">
        <f t="shared" si="28"/>
        <v>Mar</v>
      </c>
      <c r="L228">
        <v>1695811816</v>
      </c>
      <c r="M228" s="11">
        <f t="shared" si="29"/>
        <v>45196.451574074075</v>
      </c>
      <c r="N228">
        <v>206.94</v>
      </c>
      <c r="O228" s="7">
        <f t="shared" si="30"/>
        <v>206.94</v>
      </c>
      <c r="P228" t="s">
        <v>40</v>
      </c>
      <c r="Q228" s="7" t="str">
        <f t="shared" si="31"/>
        <v xml:space="preserve">VIP client </v>
      </c>
    </row>
    <row r="229" spans="1:17">
      <c r="A229">
        <v>1907</v>
      </c>
      <c r="B229" t="s">
        <v>21</v>
      </c>
      <c r="C229" s="9" t="str">
        <f t="shared" si="24"/>
        <v>David Brown</v>
      </c>
      <c r="D229" s="7" t="str">
        <f t="shared" si="25"/>
        <v xml:space="preserve"> David Brown </v>
      </c>
      <c r="E229">
        <v>24</v>
      </c>
      <c r="F229" s="7">
        <f t="shared" si="26"/>
        <v>24</v>
      </c>
      <c r="G229" t="s">
        <v>116</v>
      </c>
      <c r="H229" s="7" t="str">
        <f t="shared" si="27"/>
        <v>China</v>
      </c>
      <c r="I229" t="s">
        <v>304</v>
      </c>
      <c r="J229" s="7" t="str">
        <f>TEXT(
  IFERROR(
    DATEVALUE(SUBSTITUTE(SUBSTITUTE(TRIM(I229),"T"," "),"Z","")),
    IFERROR(
      DATE(
        RIGHT(TRIM(I229),4),
        MID(TRIM(I229),4,2),
        LEFT(TRIM(I229),2)
      ),
      DATE(
        VALUE(RIGHT(TRIM(I229),4)),
        MATCH(LEFT(TRIM(I229),FIND(" ",TRIM(I229))-1),
          {"January","February","March","April","May","June","July","August","September","October","November","December"},0),
        VALUE(MID(TRIM(I229),
          FIND(" ",TRIM(I229))+1,
          FIND(" ",TRIM(I229),FIND(" ",TRIM(I229))+1)-FIND(" ",TRIM(I229))-1))
      )
    )
  ),
"yyyy-mm-dd")</f>
        <v>2023-06-29</v>
      </c>
      <c r="K229" s="5" t="str">
        <f t="shared" si="28"/>
        <v>Jun</v>
      </c>
      <c r="L229">
        <v>1683076991</v>
      </c>
      <c r="M229" s="11">
        <f t="shared" si="29"/>
        <v>45049.057766203703</v>
      </c>
      <c r="N229">
        <v>1188.7</v>
      </c>
      <c r="O229" s="7">
        <f t="shared" si="30"/>
        <v>1188.7</v>
      </c>
      <c r="P229" t="s">
        <v>58</v>
      </c>
      <c r="Q229" s="7" t="str">
        <f t="shared" si="31"/>
        <v>Student account</v>
      </c>
    </row>
    <row r="230" spans="1:17">
      <c r="A230">
        <v>1173</v>
      </c>
      <c r="B230" t="s">
        <v>72</v>
      </c>
      <c r="C230" s="9" t="str">
        <f t="shared" si="24"/>
        <v>Emily Davis</v>
      </c>
      <c r="D230" s="7" t="str">
        <f t="shared" si="25"/>
        <v>Emily Davis</v>
      </c>
      <c r="E230">
        <v>64</v>
      </c>
      <c r="F230" s="7">
        <f t="shared" si="26"/>
        <v>64</v>
      </c>
      <c r="G230" t="s">
        <v>102</v>
      </c>
      <c r="H230" s="7" t="str">
        <f t="shared" si="27"/>
        <v>Mexico</v>
      </c>
      <c r="I230" t="s">
        <v>305</v>
      </c>
      <c r="J230" s="7" t="str">
        <f>TEXT(
  IFERROR(
    DATEVALUE(SUBSTITUTE(SUBSTITUTE(TRIM(I230),"T"," "),"Z","")),
    IFERROR(
      DATE(
        RIGHT(TRIM(I230),4),
        MID(TRIM(I230),4,2),
        LEFT(TRIM(I230),2)
      ),
      DATE(
        VALUE(RIGHT(TRIM(I230),4)),
        MATCH(LEFT(TRIM(I230),FIND(" ",TRIM(I230))-1),
          {"January","February","March","April","May","June","July","August","September","October","November","December"},0),
        VALUE(MID(TRIM(I230),
          FIND(" ",TRIM(I230))+1,
          FIND(" ",TRIM(I230),FIND(" ",TRIM(I230))+1)-FIND(" ",TRIM(I230))-1))
      )
    )
  ),
"yyyy-mm-dd")</f>
        <v>2023-12-20</v>
      </c>
      <c r="K230" s="5" t="str">
        <f t="shared" si="28"/>
        <v>Dec</v>
      </c>
      <c r="L230">
        <v>1700974537</v>
      </c>
      <c r="M230" s="11">
        <f t="shared" si="29"/>
        <v>45256.205289351856</v>
      </c>
      <c r="O230" s="7">
        <f t="shared" si="30"/>
        <v>0</v>
      </c>
      <c r="P230" t="s">
        <v>40</v>
      </c>
      <c r="Q230" s="7" t="str">
        <f t="shared" si="31"/>
        <v xml:space="preserve">VIP client </v>
      </c>
    </row>
    <row r="231" spans="1:17">
      <c r="A231">
        <v>2061</v>
      </c>
      <c r="B231" t="s">
        <v>183</v>
      </c>
      <c r="C231" s="9" t="str">
        <f t="shared" si="24"/>
        <v>Mia Thompson</v>
      </c>
      <c r="D231" s="7" t="str">
        <f t="shared" si="25"/>
        <v>Mia Thompson</v>
      </c>
      <c r="F231" s="7">
        <f t="shared" si="26"/>
        <v>43</v>
      </c>
      <c r="G231" t="s">
        <v>29</v>
      </c>
      <c r="H231" s="7" t="str">
        <f t="shared" si="27"/>
        <v>United States</v>
      </c>
      <c r="I231" t="s">
        <v>306</v>
      </c>
      <c r="J231" s="7" t="str">
        <f>TEXT(
  IFERROR(
    DATEVALUE(SUBSTITUTE(SUBSTITUTE(TRIM(I231),"T"," "),"Z","")),
    IFERROR(
      DATE(
        RIGHT(TRIM(I231),4),
        MID(TRIM(I231),4,2),
        LEFT(TRIM(I231),2)
      ),
      DATE(
        VALUE(RIGHT(TRIM(I231),4)),
        MATCH(LEFT(TRIM(I231),FIND(" ",TRIM(I231))-1),
          {"January","February","March","April","May","June","July","August","September","October","November","December"},0),
        VALUE(MID(TRIM(I231),
          FIND(" ",TRIM(I231))+1,
          FIND(" ",TRIM(I231),FIND(" ",TRIM(I231))+1)-FIND(" ",TRIM(I231))-1))
      )
    )
  ),
"yyyy-mm-dd")</f>
        <v>2023-05-03</v>
      </c>
      <c r="K231" s="5" t="str">
        <f t="shared" si="28"/>
        <v>May</v>
      </c>
      <c r="L231">
        <v>1685472171</v>
      </c>
      <c r="M231" s="11">
        <f t="shared" si="29"/>
        <v>45076.779756944445</v>
      </c>
      <c r="O231" s="7">
        <f t="shared" si="30"/>
        <v>0</v>
      </c>
      <c r="P231" t="s">
        <v>27</v>
      </c>
      <c r="Q231" s="7" t="str">
        <f t="shared" si="31"/>
        <v xml:space="preserve">Holiday signup </v>
      </c>
    </row>
    <row r="232" spans="1:17">
      <c r="A232">
        <v>1824</v>
      </c>
      <c r="B232" t="s">
        <v>47</v>
      </c>
      <c r="C232" s="9" t="str">
        <f t="shared" si="24"/>
        <v>Li Wei</v>
      </c>
      <c r="D232" s="7" t="str">
        <f t="shared" si="25"/>
        <v>Li Wei</v>
      </c>
      <c r="E232">
        <v>52</v>
      </c>
      <c r="F232" s="7">
        <f t="shared" si="26"/>
        <v>52</v>
      </c>
      <c r="G232" t="s">
        <v>54</v>
      </c>
      <c r="H232" s="7" t="str">
        <f t="shared" si="27"/>
        <v>Brazil</v>
      </c>
      <c r="I232" t="s">
        <v>307</v>
      </c>
      <c r="J232" s="7" t="str">
        <f>TEXT(
  IFERROR(
    DATEVALUE(SUBSTITUTE(SUBSTITUTE(TRIM(I232),"T"," "),"Z","")),
    IFERROR(
      DATE(
        RIGHT(TRIM(I232),4),
        MID(TRIM(I232),4,2),
        LEFT(TRIM(I232),2)
      ),
      DATE(
        VALUE(RIGHT(TRIM(I232),4)),
        MATCH(LEFT(TRIM(I232),FIND(" ",TRIM(I232))-1),
          {"January","February","March","April","May","June","July","August","September","October","November","December"},0),
        VALUE(MID(TRIM(I232),
          FIND(" ",TRIM(I232))+1,
          FIND(" ",TRIM(I232),FIND(" ",TRIM(I232))+1)-FIND(" ",TRIM(I232))-1))
      )
    )
  ),
"yyyy-mm-dd")</f>
        <v>2023-12-02</v>
      </c>
      <c r="K232" s="5" t="str">
        <f t="shared" si="28"/>
        <v>Dec</v>
      </c>
      <c r="L232">
        <v>1675175523</v>
      </c>
      <c r="M232" s="11">
        <f t="shared" si="29"/>
        <v>44957.605590277773</v>
      </c>
      <c r="N232">
        <v>771.84</v>
      </c>
      <c r="O232" s="7">
        <f t="shared" si="30"/>
        <v>771.84</v>
      </c>
      <c r="P232" t="s">
        <v>33</v>
      </c>
      <c r="Q232" s="7" t="str">
        <f t="shared" si="31"/>
        <v>Frequent buyer n</v>
      </c>
    </row>
    <row r="233" spans="1:17">
      <c r="A233">
        <v>1501</v>
      </c>
      <c r="B233" t="s">
        <v>47</v>
      </c>
      <c r="C233" s="9" t="str">
        <f t="shared" si="24"/>
        <v>Li Wei</v>
      </c>
      <c r="D233" s="7" t="str">
        <f t="shared" si="25"/>
        <v>Li Wei</v>
      </c>
      <c r="E233">
        <v>47</v>
      </c>
      <c r="F233" s="7">
        <f t="shared" si="26"/>
        <v>47</v>
      </c>
      <c r="G233" t="s">
        <v>29</v>
      </c>
      <c r="H233" s="7" t="str">
        <f t="shared" si="27"/>
        <v>United States</v>
      </c>
      <c r="I233" t="s">
        <v>308</v>
      </c>
      <c r="J233" s="7" t="str">
        <f>TEXT(
  IFERROR(
    DATEVALUE(SUBSTITUTE(SUBSTITUTE(TRIM(I233),"T"," "),"Z","")),
    IFERROR(
      DATE(
        RIGHT(TRIM(I233),4),
        MID(TRIM(I233),4,2),
        LEFT(TRIM(I233),2)
      ),
      DATE(
        VALUE(RIGHT(TRIM(I233),4)),
        MATCH(LEFT(TRIM(I233),FIND(" ",TRIM(I233))-1),
          {"January","February","March","April","May","June","July","August","September","October","November","December"},0),
        VALUE(MID(TRIM(I233),
          FIND(" ",TRIM(I233))+1,
          FIND(" ",TRIM(I233),FIND(" ",TRIM(I233))+1)-FIND(" ",TRIM(I233))-1))
      )
    )
  ),
"yyyy-mm-dd")</f>
        <v>2023-06-08</v>
      </c>
      <c r="K233" s="5" t="str">
        <f t="shared" si="28"/>
        <v>Jun</v>
      </c>
      <c r="L233">
        <v>1676531842</v>
      </c>
      <c r="M233" s="11">
        <f t="shared" si="29"/>
        <v>44973.303726851853</v>
      </c>
      <c r="N233">
        <v>28.87</v>
      </c>
      <c r="O233" s="7">
        <f t="shared" si="30"/>
        <v>28.87</v>
      </c>
      <c r="P233" t="s">
        <v>20</v>
      </c>
      <c r="Q233" s="7" t="str">
        <f t="shared" si="31"/>
        <v xml:space="preserve">Great customer </v>
      </c>
    </row>
    <row r="234" spans="1:17">
      <c r="A234">
        <v>1336</v>
      </c>
      <c r="B234" t="s">
        <v>131</v>
      </c>
      <c r="C234" s="9" t="str">
        <f t="shared" si="24"/>
        <v>Isabella Martinez</v>
      </c>
      <c r="D234" s="7" t="str">
        <f t="shared" si="25"/>
        <v>Isabella Martinez</v>
      </c>
      <c r="E234">
        <v>51</v>
      </c>
      <c r="F234" s="7">
        <f t="shared" si="26"/>
        <v>51</v>
      </c>
      <c r="G234" t="s">
        <v>54</v>
      </c>
      <c r="H234" s="7" t="str">
        <f t="shared" si="27"/>
        <v>Brazil</v>
      </c>
      <c r="I234" t="s">
        <v>309</v>
      </c>
      <c r="J234" s="7" t="str">
        <f>TEXT(
  IFERROR(
    DATEVALUE(SUBSTITUTE(SUBSTITUTE(TRIM(I234),"T"," "),"Z","")),
    IFERROR(
      DATE(
        RIGHT(TRIM(I234),4),
        MID(TRIM(I234),4,2),
        LEFT(TRIM(I234),2)
      ),
      DATE(
        VALUE(RIGHT(TRIM(I234),4)),
        MATCH(LEFT(TRIM(I234),FIND(" ",TRIM(I234))-1),
          {"January","February","March","April","May","June","July","August","September","October","November","December"},0),
        VALUE(MID(TRIM(I234),
          FIND(" ",TRIM(I234))+1,
          FIND(" ",TRIM(I234),FIND(" ",TRIM(I234))+1)-FIND(" ",TRIM(I234))-1))
      )
    )
  ),
"yyyy-mm-dd")</f>
        <v>2023-03-27</v>
      </c>
      <c r="K234" s="5" t="str">
        <f t="shared" si="28"/>
        <v>Mar</v>
      </c>
      <c r="L234">
        <v>1676783084</v>
      </c>
      <c r="M234" s="11">
        <f t="shared" si="29"/>
        <v>44976.21162037037</v>
      </c>
      <c r="O234" s="7">
        <f t="shared" si="30"/>
        <v>0</v>
      </c>
      <c r="P234" t="s">
        <v>52</v>
      </c>
      <c r="Q234" s="7" t="str">
        <f t="shared" si="31"/>
        <v xml:space="preserve">Prefers email </v>
      </c>
    </row>
    <row r="235" spans="1:17">
      <c r="A235">
        <v>1061</v>
      </c>
      <c r="B235" t="s">
        <v>41</v>
      </c>
      <c r="C235" s="9" t="str">
        <f t="shared" si="24"/>
        <v>Lucas Silva</v>
      </c>
      <c r="D235" s="7" t="str">
        <f t="shared" si="25"/>
        <v>Lucas Silva</v>
      </c>
      <c r="E235">
        <v>35</v>
      </c>
      <c r="F235" s="7">
        <f t="shared" si="26"/>
        <v>35</v>
      </c>
      <c r="G235" t="s">
        <v>54</v>
      </c>
      <c r="H235" s="7" t="str">
        <f t="shared" si="27"/>
        <v>Brazil</v>
      </c>
      <c r="I235" t="s">
        <v>209</v>
      </c>
      <c r="J235" s="7" t="str">
        <f>TEXT(
  IFERROR(
    DATEVALUE(SUBSTITUTE(SUBSTITUTE(TRIM(I235),"T"," "),"Z","")),
    IFERROR(
      DATE(
        RIGHT(TRIM(I235),4),
        MID(TRIM(I235),4,2),
        LEFT(TRIM(I235),2)
      ),
      DATE(
        VALUE(RIGHT(TRIM(I235),4)),
        MATCH(LEFT(TRIM(I235),FIND(" ",TRIM(I235))-1),
          {"January","February","March","April","May","June","July","August","September","October","November","December"},0),
        VALUE(MID(TRIM(I235),
          FIND(" ",TRIM(I235))+1,
          FIND(" ",TRIM(I235),FIND(" ",TRIM(I235))+1)-FIND(" ",TRIM(I235))-1))
      )
    )
  ),
"yyyy-mm-dd")</f>
        <v>2023-12-31</v>
      </c>
      <c r="K235" s="5" t="str">
        <f t="shared" si="28"/>
        <v>Dec</v>
      </c>
      <c r="L235">
        <v>1693580507</v>
      </c>
      <c r="M235" s="11">
        <f t="shared" si="29"/>
        <v>45170.626238425924</v>
      </c>
      <c r="O235" s="7">
        <f t="shared" si="30"/>
        <v>0</v>
      </c>
      <c r="P235" t="s">
        <v>46</v>
      </c>
      <c r="Q235" s="7" t="str">
        <f t="shared" si="31"/>
        <v>Corporate account</v>
      </c>
    </row>
    <row r="236" spans="1:17">
      <c r="A236">
        <v>1859</v>
      </c>
      <c r="B236" t="s">
        <v>72</v>
      </c>
      <c r="C236" s="9" t="str">
        <f t="shared" si="24"/>
        <v>Emily Davis</v>
      </c>
      <c r="D236" s="7" t="str">
        <f t="shared" si="25"/>
        <v>Emily Davis</v>
      </c>
      <c r="F236" s="7">
        <f t="shared" si="26"/>
        <v>43</v>
      </c>
      <c r="G236" t="s">
        <v>54</v>
      </c>
      <c r="H236" s="7" t="str">
        <f t="shared" si="27"/>
        <v>Brazil</v>
      </c>
      <c r="I236" t="s">
        <v>310</v>
      </c>
      <c r="J236" s="7" t="str">
        <f>TEXT(
  IFERROR(
    DATEVALUE(SUBSTITUTE(SUBSTITUTE(TRIM(I236),"T"," "),"Z","")),
    IFERROR(
      DATE(
        RIGHT(TRIM(I236),4),
        MID(TRIM(I236),4,2),
        LEFT(TRIM(I236),2)
      ),
      DATE(
        VALUE(RIGHT(TRIM(I236),4)),
        MATCH(LEFT(TRIM(I236),FIND(" ",TRIM(I236))-1),
          {"January","February","March","April","May","June","July","August","September","October","November","December"},0),
        VALUE(MID(TRIM(I236),
          FIND(" ",TRIM(I236))+1,
          FIND(" ",TRIM(I236),FIND(" ",TRIM(I236))+1)-FIND(" ",TRIM(I236))-1))
      )
    )
  ),
"yyyy-mm-dd")</f>
        <v>2023-02-09</v>
      </c>
      <c r="K236" s="5" t="str">
        <f t="shared" si="28"/>
        <v>Feb</v>
      </c>
      <c r="L236">
        <v>1685033366</v>
      </c>
      <c r="M236" s="11">
        <f t="shared" si="29"/>
        <v>45071.700995370367</v>
      </c>
      <c r="N236">
        <v>187.91</v>
      </c>
      <c r="O236" s="7">
        <f t="shared" si="30"/>
        <v>187.91</v>
      </c>
      <c r="P236" t="s">
        <v>33</v>
      </c>
      <c r="Q236" s="7" t="str">
        <f t="shared" si="31"/>
        <v>Frequent buyer n</v>
      </c>
    </row>
    <row r="237" spans="1:17">
      <c r="A237">
        <v>1458</v>
      </c>
      <c r="B237" t="s">
        <v>80</v>
      </c>
      <c r="C237" s="9" t="str">
        <f t="shared" si="24"/>
        <v>Ahmed Hassan</v>
      </c>
      <c r="D237" s="7" t="str">
        <f t="shared" si="25"/>
        <v>Ahmed Hassan</v>
      </c>
      <c r="F237" s="7">
        <f t="shared" si="26"/>
        <v>43</v>
      </c>
      <c r="G237" t="s">
        <v>102</v>
      </c>
      <c r="H237" s="7" t="str">
        <f t="shared" si="27"/>
        <v>Mexico</v>
      </c>
      <c r="I237" t="s">
        <v>311</v>
      </c>
      <c r="J237" s="7" t="str">
        <f>TEXT(
  IFERROR(
    DATEVALUE(SUBSTITUTE(SUBSTITUTE(TRIM(I237),"T"," "),"Z","")),
    IFERROR(
      DATE(
        RIGHT(TRIM(I237),4),
        MID(TRIM(I237),4,2),
        LEFT(TRIM(I237),2)
      ),
      DATE(
        VALUE(RIGHT(TRIM(I237),4)),
        MATCH(LEFT(TRIM(I237),FIND(" ",TRIM(I237))-1),
          {"January","February","March","April","May","June","July","August","September","October","November","December"},0),
        VALUE(MID(TRIM(I237),
          FIND(" ",TRIM(I237))+1,
          FIND(" ",TRIM(I237),FIND(" ",TRIM(I237))+1)-FIND(" ",TRIM(I237))-1))
      )
    )
  ),
"yyyy-mm-dd")</f>
        <v>2023-09-06</v>
      </c>
      <c r="K237" s="5" t="str">
        <f t="shared" si="28"/>
        <v>Sep</v>
      </c>
      <c r="L237">
        <v>1675422617</v>
      </c>
      <c r="M237" s="11">
        <f t="shared" si="29"/>
        <v>44960.465474537035</v>
      </c>
      <c r="N237">
        <v>834.11</v>
      </c>
      <c r="O237" s="7">
        <f t="shared" si="30"/>
        <v>834.11</v>
      </c>
      <c r="P237" t="s">
        <v>84</v>
      </c>
      <c r="Q237" s="7" t="str">
        <f t="shared" si="31"/>
        <v xml:space="preserve">Newsletter subscriber </v>
      </c>
    </row>
    <row r="238" spans="1:17">
      <c r="A238">
        <v>1411</v>
      </c>
      <c r="B238" t="s">
        <v>107</v>
      </c>
      <c r="C238" s="9" t="str">
        <f t="shared" si="24"/>
        <v>Fatima Ali</v>
      </c>
      <c r="D238" s="7" t="str">
        <f t="shared" si="25"/>
        <v>Fatima Ali</v>
      </c>
      <c r="E238">
        <v>65</v>
      </c>
      <c r="F238" s="7">
        <f t="shared" si="26"/>
        <v>65</v>
      </c>
      <c r="G238" t="s">
        <v>38</v>
      </c>
      <c r="H238" s="7" t="str">
        <f t="shared" si="27"/>
        <v>Spain</v>
      </c>
      <c r="I238" t="s">
        <v>312</v>
      </c>
      <c r="J238" s="7" t="str">
        <f>TEXT(
  IFERROR(
    DATEVALUE(SUBSTITUTE(SUBSTITUTE(TRIM(I238),"T"," "),"Z","")),
    IFERROR(
      DATE(
        RIGHT(TRIM(I238),4),
        MID(TRIM(I238),4,2),
        LEFT(TRIM(I238),2)
      ),
      DATE(
        VALUE(RIGHT(TRIM(I238),4)),
        MATCH(LEFT(TRIM(I238),FIND(" ",TRIM(I238))-1),
          {"January","February","March","April","May","June","July","August","September","October","November","December"},0),
        VALUE(MID(TRIM(I238),
          FIND(" ",TRIM(I238))+1,
          FIND(" ",TRIM(I238),FIND(" ",TRIM(I238))+1)-FIND(" ",TRIM(I238))-1))
      )
    )
  ),
"yyyy-mm-dd")</f>
        <v>2023-08-26</v>
      </c>
      <c r="K238" s="5" t="str">
        <f t="shared" si="28"/>
        <v>Aug</v>
      </c>
      <c r="L238">
        <v>1692377853</v>
      </c>
      <c r="M238" s="11">
        <f t="shared" si="29"/>
        <v>45156.706631944442</v>
      </c>
      <c r="N238">
        <v>1458.07</v>
      </c>
      <c r="O238" s="7">
        <f t="shared" si="30"/>
        <v>1458.07</v>
      </c>
      <c r="P238" t="s">
        <v>46</v>
      </c>
      <c r="Q238" s="7" t="str">
        <f t="shared" si="31"/>
        <v>Corporate account</v>
      </c>
    </row>
    <row r="239" spans="1:17">
      <c r="A239">
        <v>1503</v>
      </c>
      <c r="B239" t="s">
        <v>43</v>
      </c>
      <c r="C239" s="9" t="str">
        <f t="shared" si="24"/>
        <v>Carlos García</v>
      </c>
      <c r="D239" s="7" t="str">
        <f t="shared" si="25"/>
        <v xml:space="preserve"> Carlos García </v>
      </c>
      <c r="E239">
        <v>44</v>
      </c>
      <c r="F239" s="7">
        <f t="shared" si="26"/>
        <v>44</v>
      </c>
      <c r="G239" t="s">
        <v>62</v>
      </c>
      <c r="H239" s="7" t="str">
        <f t="shared" si="27"/>
        <v>Ireland</v>
      </c>
      <c r="I239" t="s">
        <v>313</v>
      </c>
      <c r="J239" s="7" t="str">
        <f>TEXT(
  IFERROR(
    DATEVALUE(SUBSTITUTE(SUBSTITUTE(TRIM(I239),"T"," "),"Z","")),
    IFERROR(
      DATE(
        RIGHT(TRIM(I239),4),
        MID(TRIM(I239),4,2),
        LEFT(TRIM(I239),2)
      ),
      DATE(
        VALUE(RIGHT(TRIM(I239),4)),
        MATCH(LEFT(TRIM(I239),FIND(" ",TRIM(I239))-1),
          {"January","February","March","April","May","June","July","August","September","October","November","December"},0),
        VALUE(MID(TRIM(I239),
          FIND(" ",TRIM(I239))+1,
          FIND(" ",TRIM(I239),FIND(" ",TRIM(I239))+1)-FIND(" ",TRIM(I239))-1))
      )
    )
  ),
"yyyy-mm-dd")</f>
        <v>2023-06-27</v>
      </c>
      <c r="K239" s="5" t="str">
        <f t="shared" si="28"/>
        <v>Jun</v>
      </c>
      <c r="L239">
        <v>1683765317</v>
      </c>
      <c r="M239" s="11">
        <f t="shared" si="29"/>
        <v>45057.024502314816</v>
      </c>
      <c r="O239" s="7">
        <f t="shared" si="30"/>
        <v>0</v>
      </c>
      <c r="P239" t="s">
        <v>58</v>
      </c>
      <c r="Q239" s="7" t="str">
        <f t="shared" si="31"/>
        <v>Student account</v>
      </c>
    </row>
    <row r="240" spans="1:17">
      <c r="A240">
        <v>1213</v>
      </c>
      <c r="B240" t="s">
        <v>104</v>
      </c>
      <c r="C240" s="9" t="str">
        <f t="shared" si="24"/>
        <v>David Brown</v>
      </c>
      <c r="D240" s="7" t="str">
        <f t="shared" si="25"/>
        <v>David Brown</v>
      </c>
      <c r="F240" s="7">
        <f t="shared" si="26"/>
        <v>43</v>
      </c>
      <c r="G240" t="s">
        <v>29</v>
      </c>
      <c r="H240" s="7" t="str">
        <f t="shared" si="27"/>
        <v>United States</v>
      </c>
      <c r="I240" t="s">
        <v>314</v>
      </c>
      <c r="J240" s="7" t="str">
        <f>TEXT(
  IFERROR(
    DATEVALUE(SUBSTITUTE(SUBSTITUTE(TRIM(I240),"T"," "),"Z","")),
    IFERROR(
      DATE(
        RIGHT(TRIM(I240),4),
        MID(TRIM(I240),4,2),
        LEFT(TRIM(I240),2)
      ),
      DATE(
        VALUE(RIGHT(TRIM(I240),4)),
        MATCH(LEFT(TRIM(I240),FIND(" ",TRIM(I240))-1),
          {"January","February","March","April","May","June","July","August","September","October","November","December"},0),
        VALUE(MID(TRIM(I240),
          FIND(" ",TRIM(I240))+1,
          FIND(" ",TRIM(I240),FIND(" ",TRIM(I240))+1)-FIND(" ",TRIM(I240))-1))
      )
    )
  ),
"yyyy-mm-dd")</f>
        <v>2023-03-14</v>
      </c>
      <c r="K240" s="5" t="str">
        <f t="shared" si="28"/>
        <v>Mar</v>
      </c>
      <c r="L240">
        <v>1675645456</v>
      </c>
      <c r="M240" s="11">
        <f t="shared" si="29"/>
        <v>44963.044629629629</v>
      </c>
      <c r="N240">
        <v>75.41</v>
      </c>
      <c r="O240" s="7">
        <f t="shared" si="30"/>
        <v>75.41</v>
      </c>
      <c r="P240" t="s">
        <v>46</v>
      </c>
      <c r="Q240" s="7" t="str">
        <f t="shared" si="31"/>
        <v>Corporate account</v>
      </c>
    </row>
    <row r="241" spans="1:17">
      <c r="A241">
        <v>2163</v>
      </c>
      <c r="B241" t="s">
        <v>28</v>
      </c>
      <c r="C241" s="9" t="str">
        <f t="shared" si="24"/>
        <v>Maria Lopez</v>
      </c>
      <c r="D241" s="7" t="str">
        <f t="shared" si="25"/>
        <v>Maria Lopez</v>
      </c>
      <c r="F241" s="7">
        <f t="shared" si="26"/>
        <v>43</v>
      </c>
      <c r="G241" t="s">
        <v>54</v>
      </c>
      <c r="H241" s="7" t="str">
        <f t="shared" si="27"/>
        <v>Brazil</v>
      </c>
      <c r="I241" t="s">
        <v>315</v>
      </c>
      <c r="J241" s="7" t="str">
        <f>TEXT(
  IFERROR(
    DATEVALUE(SUBSTITUTE(SUBSTITUTE(TRIM(I241),"T"," "),"Z","")),
    IFERROR(
      DATE(
        RIGHT(TRIM(I241),4),
        MID(TRIM(I241),4,2),
        LEFT(TRIM(I241),2)
      ),
      DATE(
        VALUE(RIGHT(TRIM(I241),4)),
        MATCH(LEFT(TRIM(I241),FIND(" ",TRIM(I241))-1),
          {"January","February","March","April","May","June","July","August","September","October","November","December"},0),
        VALUE(MID(TRIM(I241),
          FIND(" ",TRIM(I241))+1,
          FIND(" ",TRIM(I241),FIND(" ",TRIM(I241))+1)-FIND(" ",TRIM(I241))-1))
      )
    )
  ),
"yyyy-mm-dd")</f>
        <v>2023-06-11</v>
      </c>
      <c r="K241" s="5" t="str">
        <f t="shared" si="28"/>
        <v>Jun</v>
      </c>
      <c r="L241">
        <v>1696036449</v>
      </c>
      <c r="M241" s="11">
        <f t="shared" si="29"/>
        <v>45199.051493055551</v>
      </c>
      <c r="O241" s="7">
        <f t="shared" si="30"/>
        <v>0</v>
      </c>
      <c r="P241" t="s">
        <v>84</v>
      </c>
      <c r="Q241" s="7" t="str">
        <f t="shared" si="31"/>
        <v xml:space="preserve">Newsletter subscriber </v>
      </c>
    </row>
    <row r="242" spans="1:17">
      <c r="A242">
        <v>1928</v>
      </c>
      <c r="B242" t="s">
        <v>85</v>
      </c>
      <c r="C242" s="9" t="str">
        <f t="shared" si="24"/>
        <v>Akira Tanaka</v>
      </c>
      <c r="D242" s="7" t="str">
        <f t="shared" si="25"/>
        <v xml:space="preserve"> Akira Tanaka </v>
      </c>
      <c r="E242">
        <v>26</v>
      </c>
      <c r="F242" s="7">
        <f t="shared" si="26"/>
        <v>26</v>
      </c>
      <c r="G242" t="s">
        <v>18</v>
      </c>
      <c r="H242" s="7" t="str">
        <f t="shared" si="27"/>
        <v>United Kingdom</v>
      </c>
      <c r="I242" t="s">
        <v>206</v>
      </c>
      <c r="J242" s="7" t="str">
        <f>TEXT(
  IFERROR(
    DATEVALUE(SUBSTITUTE(SUBSTITUTE(TRIM(I242),"T"," "),"Z","")),
    IFERROR(
      DATE(
        RIGHT(TRIM(I242),4),
        MID(TRIM(I242),4,2),
        LEFT(TRIM(I242),2)
      ),
      DATE(
        VALUE(RIGHT(TRIM(I242),4)),
        MATCH(LEFT(TRIM(I242),FIND(" ",TRIM(I242))-1),
          {"January","February","March","April","May","June","July","August","September","October","November","December"},0),
        VALUE(MID(TRIM(I242),
          FIND(" ",TRIM(I242))+1,
          FIND(" ",TRIM(I242),FIND(" ",TRIM(I242))+1)-FIND(" ",TRIM(I242))-1))
      )
    )
  ),
"yyyy-mm-dd")</f>
        <v>2023-03-21</v>
      </c>
      <c r="K242" s="5" t="str">
        <f t="shared" si="28"/>
        <v>Mar</v>
      </c>
      <c r="L242">
        <v>1678039509</v>
      </c>
      <c r="M242" s="11">
        <f t="shared" si="29"/>
        <v>44990.753576388888</v>
      </c>
      <c r="O242" s="7">
        <f t="shared" si="30"/>
        <v>0</v>
      </c>
      <c r="P242" t="s">
        <v>118</v>
      </c>
      <c r="Q242" s="7" t="str">
        <f t="shared" si="31"/>
        <v>High engagement</v>
      </c>
    </row>
    <row r="243" spans="1:17">
      <c r="A243">
        <v>1248</v>
      </c>
      <c r="B243" t="s">
        <v>148</v>
      </c>
      <c r="C243" s="9" t="str">
        <f t="shared" si="24"/>
        <v>Chloe Dubois</v>
      </c>
      <c r="D243" s="7" t="str">
        <f t="shared" si="25"/>
        <v>Chloe Dubois</v>
      </c>
      <c r="F243" s="7">
        <f t="shared" si="26"/>
        <v>43</v>
      </c>
      <c r="G243" t="s">
        <v>111</v>
      </c>
      <c r="H243" s="7" t="str">
        <f t="shared" si="27"/>
        <v>South Korea</v>
      </c>
      <c r="I243" t="s">
        <v>316</v>
      </c>
      <c r="J243" s="7" t="str">
        <f>TEXT(
  IFERROR(
    DATEVALUE(SUBSTITUTE(SUBSTITUTE(TRIM(I243),"T"," "),"Z","")),
    IFERROR(
      DATE(
        RIGHT(TRIM(I243),4),
        MID(TRIM(I243),4,2),
        LEFT(TRIM(I243),2)
      ),
      DATE(
        VALUE(RIGHT(TRIM(I243),4)),
        MATCH(LEFT(TRIM(I243),FIND(" ",TRIM(I243))-1),
          {"January","February","March","April","May","June","July","August","September","October","November","December"},0),
        VALUE(MID(TRIM(I243),
          FIND(" ",TRIM(I243))+1,
          FIND(" ",TRIM(I243),FIND(" ",TRIM(I243))+1)-FIND(" ",TRIM(I243))-1))
      )
    )
  ),
"yyyy-mm-dd")</f>
        <v>2023-05-16</v>
      </c>
      <c r="K243" s="5" t="str">
        <f t="shared" si="28"/>
        <v>May</v>
      </c>
      <c r="L243">
        <v>1675558021</v>
      </c>
      <c r="M243" s="11">
        <f t="shared" si="29"/>
        <v>44962.032650462963</v>
      </c>
      <c r="O243" s="7">
        <f t="shared" si="30"/>
        <v>0</v>
      </c>
      <c r="P243" t="s">
        <v>27</v>
      </c>
      <c r="Q243" s="7" t="str">
        <f t="shared" si="31"/>
        <v xml:space="preserve">Holiday signup </v>
      </c>
    </row>
    <row r="244" spans="1:17">
      <c r="A244">
        <v>1083</v>
      </c>
      <c r="B244" t="s">
        <v>104</v>
      </c>
      <c r="C244" s="9" t="str">
        <f t="shared" si="24"/>
        <v>David Brown</v>
      </c>
      <c r="D244" s="7" t="str">
        <f t="shared" si="25"/>
        <v>David Brown</v>
      </c>
      <c r="E244">
        <v>38</v>
      </c>
      <c r="F244" s="7">
        <f t="shared" si="26"/>
        <v>38</v>
      </c>
      <c r="G244" t="s">
        <v>38</v>
      </c>
      <c r="H244" s="7" t="str">
        <f t="shared" si="27"/>
        <v>Spain</v>
      </c>
      <c r="I244" t="s">
        <v>317</v>
      </c>
      <c r="J244" s="7" t="str">
        <f>TEXT(
  IFERROR(
    DATEVALUE(SUBSTITUTE(SUBSTITUTE(TRIM(I244),"T"," "),"Z","")),
    IFERROR(
      DATE(
        RIGHT(TRIM(I244),4),
        MID(TRIM(I244),4,2),
        LEFT(TRIM(I244),2)
      ),
      DATE(
        VALUE(RIGHT(TRIM(I244),4)),
        MATCH(LEFT(TRIM(I244),FIND(" ",TRIM(I244))-1),
          {"January","February","March","April","May","June","July","August","September","October","November","December"},0),
        VALUE(MID(TRIM(I244),
          FIND(" ",TRIM(I244))+1,
          FIND(" ",TRIM(I244),FIND(" ",TRIM(I244))+1)-FIND(" ",TRIM(I244))-1))
      )
    )
  ),
"yyyy-mm-dd")</f>
        <v>2023-07-02</v>
      </c>
      <c r="K244" s="5" t="str">
        <f t="shared" si="28"/>
        <v>Jul</v>
      </c>
      <c r="L244">
        <v>1689752847</v>
      </c>
      <c r="M244" s="11">
        <f t="shared" si="29"/>
        <v>45126.324618055558</v>
      </c>
      <c r="O244" s="7">
        <f t="shared" si="30"/>
        <v>0</v>
      </c>
      <c r="P244" t="s">
        <v>58</v>
      </c>
      <c r="Q244" s="7" t="str">
        <f t="shared" si="31"/>
        <v>Student account</v>
      </c>
    </row>
    <row r="245" spans="1:17">
      <c r="A245">
        <v>1357</v>
      </c>
      <c r="B245" t="s">
        <v>17</v>
      </c>
      <c r="C245" s="9" t="str">
        <f t="shared" si="24"/>
        <v>John Smith</v>
      </c>
      <c r="D245" s="7" t="str">
        <f t="shared" si="25"/>
        <v>John Smith</v>
      </c>
      <c r="E245">
        <v>53</v>
      </c>
      <c r="F245" s="7">
        <f t="shared" si="26"/>
        <v>53</v>
      </c>
      <c r="G245" t="s">
        <v>62</v>
      </c>
      <c r="H245" s="7" t="str">
        <f t="shared" si="27"/>
        <v>Ireland</v>
      </c>
      <c r="I245" t="s">
        <v>318</v>
      </c>
      <c r="J245" s="7" t="str">
        <f>TEXT(
  IFERROR(
    DATEVALUE(SUBSTITUTE(SUBSTITUTE(TRIM(I245),"T"," "),"Z","")),
    IFERROR(
      DATE(
        RIGHT(TRIM(I245),4),
        MID(TRIM(I245),4,2),
        LEFT(TRIM(I245),2)
      ),
      DATE(
        VALUE(RIGHT(TRIM(I245),4)),
        MATCH(LEFT(TRIM(I245),FIND(" ",TRIM(I245))-1),
          {"January","February","March","April","May","June","July","August","September","October","November","December"},0),
        VALUE(MID(TRIM(I245),
          FIND(" ",TRIM(I245))+1,
          FIND(" ",TRIM(I245),FIND(" ",TRIM(I245))+1)-FIND(" ",TRIM(I245))-1))
      )
    )
  ),
"yyyy-mm-dd")</f>
        <v>2023-05-08</v>
      </c>
      <c r="K245" s="5" t="str">
        <f t="shared" si="28"/>
        <v>May</v>
      </c>
      <c r="L245">
        <v>1688027598</v>
      </c>
      <c r="M245" s="11">
        <f t="shared" si="29"/>
        <v>45106.356458333335</v>
      </c>
      <c r="N245">
        <v>161.84</v>
      </c>
      <c r="O245" s="7">
        <f t="shared" si="30"/>
        <v>161.84</v>
      </c>
      <c r="P245" t="s">
        <v>52</v>
      </c>
      <c r="Q245" s="7" t="str">
        <f t="shared" si="31"/>
        <v xml:space="preserve">Prefers email </v>
      </c>
    </row>
    <row r="246" spans="1:17">
      <c r="A246">
        <v>1025</v>
      </c>
      <c r="B246" t="s">
        <v>28</v>
      </c>
      <c r="C246" s="9" t="str">
        <f t="shared" si="24"/>
        <v>Maria Lopez</v>
      </c>
      <c r="D246" s="7" t="str">
        <f t="shared" si="25"/>
        <v>Maria Lopez</v>
      </c>
      <c r="E246">
        <v>32</v>
      </c>
      <c r="F246" s="7">
        <f t="shared" si="26"/>
        <v>32</v>
      </c>
      <c r="G246" t="s">
        <v>116</v>
      </c>
      <c r="H246" s="7" t="str">
        <f t="shared" si="27"/>
        <v>China</v>
      </c>
      <c r="I246" t="s">
        <v>319</v>
      </c>
      <c r="J246" s="7" t="str">
        <f>TEXT(
  IFERROR(
    DATEVALUE(SUBSTITUTE(SUBSTITUTE(TRIM(I246),"T"," "),"Z","")),
    IFERROR(
      DATE(
        RIGHT(TRIM(I246),4),
        MID(TRIM(I246),4,2),
        LEFT(TRIM(I246),2)
      ),
      DATE(
        VALUE(RIGHT(TRIM(I246),4)),
        MATCH(LEFT(TRIM(I246),FIND(" ",TRIM(I246))-1),
          {"January","February","March","April","May","June","July","August","September","October","November","December"},0),
        VALUE(MID(TRIM(I246),
          FIND(" ",TRIM(I246))+1,
          FIND(" ",TRIM(I246),FIND(" ",TRIM(I246))+1)-FIND(" ",TRIM(I246))-1))
      )
    )
  ),
"yyyy-mm-dd")</f>
        <v>2023-07-10</v>
      </c>
      <c r="K246" s="5" t="str">
        <f t="shared" si="28"/>
        <v>Jul</v>
      </c>
      <c r="L246">
        <v>1692063544</v>
      </c>
      <c r="M246" s="11">
        <f t="shared" si="29"/>
        <v>45153.068796296298</v>
      </c>
      <c r="N246">
        <v>883.32</v>
      </c>
      <c r="O246" s="7">
        <f t="shared" si="30"/>
        <v>883.32</v>
      </c>
      <c r="P246" t="s">
        <v>20</v>
      </c>
      <c r="Q246" s="7" t="str">
        <f t="shared" si="31"/>
        <v xml:space="preserve">Great customer </v>
      </c>
    </row>
    <row r="247" spans="1:17">
      <c r="A247">
        <v>1133</v>
      </c>
      <c r="B247" t="s">
        <v>104</v>
      </c>
      <c r="C247" s="9" t="str">
        <f t="shared" si="24"/>
        <v>David Brown</v>
      </c>
      <c r="D247" s="7" t="str">
        <f t="shared" si="25"/>
        <v>David Brown</v>
      </c>
      <c r="E247">
        <v>46</v>
      </c>
      <c r="F247" s="7">
        <f t="shared" si="26"/>
        <v>46</v>
      </c>
      <c r="G247" t="s">
        <v>25</v>
      </c>
      <c r="H247" s="7" t="str">
        <f t="shared" si="27"/>
        <v>Japan</v>
      </c>
      <c r="I247" t="s">
        <v>154</v>
      </c>
      <c r="J247" s="7" t="str">
        <f>TEXT(
  IFERROR(
    DATEVALUE(SUBSTITUTE(SUBSTITUTE(TRIM(I247),"T"," "),"Z","")),
    IFERROR(
      DATE(
        RIGHT(TRIM(I247),4),
        MID(TRIM(I247),4,2),
        LEFT(TRIM(I247),2)
      ),
      DATE(
        VALUE(RIGHT(TRIM(I247),4)),
        MATCH(LEFT(TRIM(I247),FIND(" ",TRIM(I247))-1),
          {"January","February","March","April","May","June","July","August","September","October","November","December"},0),
        VALUE(MID(TRIM(I247),
          FIND(" ",TRIM(I247))+1,
          FIND(" ",TRIM(I247),FIND(" ",TRIM(I247))+1)-FIND(" ",TRIM(I247))-1))
      )
    )
  ),
"yyyy-mm-dd")</f>
        <v>2023-03-04</v>
      </c>
      <c r="K247" s="5" t="str">
        <f t="shared" si="28"/>
        <v>Mar</v>
      </c>
      <c r="L247">
        <v>1687992422</v>
      </c>
      <c r="M247" s="11">
        <f t="shared" si="29"/>
        <v>45105.949328703704</v>
      </c>
      <c r="O247" s="7">
        <f t="shared" si="30"/>
        <v>0</v>
      </c>
      <c r="P247" t="s">
        <v>118</v>
      </c>
      <c r="Q247" s="7" t="str">
        <f t="shared" si="31"/>
        <v>High engagement</v>
      </c>
    </row>
    <row r="248" spans="1:17">
      <c r="A248">
        <v>2017</v>
      </c>
      <c r="B248" t="s">
        <v>17</v>
      </c>
      <c r="C248" s="9" t="str">
        <f t="shared" si="24"/>
        <v>John Smith</v>
      </c>
      <c r="D248" s="7" t="str">
        <f t="shared" si="25"/>
        <v>John Smith</v>
      </c>
      <c r="F248" s="7">
        <f t="shared" si="26"/>
        <v>43</v>
      </c>
      <c r="G248" t="s">
        <v>22</v>
      </c>
      <c r="H248" s="7" t="str">
        <f t="shared" si="27"/>
        <v>Germany</v>
      </c>
      <c r="I248" t="s">
        <v>320</v>
      </c>
      <c r="J248" s="7" t="str">
        <f>TEXT(
  IFERROR(
    DATEVALUE(SUBSTITUTE(SUBSTITUTE(TRIM(I248),"T"," "),"Z","")),
    IFERROR(
      DATE(
        RIGHT(TRIM(I248),4),
        MID(TRIM(I248),4,2),
        LEFT(TRIM(I248),2)
      ),
      DATE(
        VALUE(RIGHT(TRIM(I248),4)),
        MATCH(LEFT(TRIM(I248),FIND(" ",TRIM(I248))-1),
          {"January","February","March","April","May","June","July","August","September","October","November","December"},0),
        VALUE(MID(TRIM(I248),
          FIND(" ",TRIM(I248))+1,
          FIND(" ",TRIM(I248),FIND(" ",TRIM(I248))+1)-FIND(" ",TRIM(I248))-1))
      )
    )
  ),
"yyyy-mm-dd")</f>
        <v>2023-06-04</v>
      </c>
      <c r="K248" s="5" t="str">
        <f t="shared" si="28"/>
        <v>Jun</v>
      </c>
      <c r="L248">
        <v>1681914360</v>
      </c>
      <c r="M248" s="11">
        <f t="shared" si="29"/>
        <v>45035.601388888885</v>
      </c>
      <c r="N248">
        <v>674.56</v>
      </c>
      <c r="O248" s="7">
        <f t="shared" si="30"/>
        <v>674.56</v>
      </c>
      <c r="P248" t="s">
        <v>20</v>
      </c>
      <c r="Q248" s="7" t="str">
        <f t="shared" si="31"/>
        <v xml:space="preserve">Great customer </v>
      </c>
    </row>
    <row r="249" spans="1:17">
      <c r="A249">
        <v>1511</v>
      </c>
      <c r="B249" t="s">
        <v>185</v>
      </c>
      <c r="C249" s="9" t="str">
        <f t="shared" si="24"/>
        <v>Liam O’Connor</v>
      </c>
      <c r="D249" s="7" t="str">
        <f t="shared" si="25"/>
        <v>Liam O’Connor</v>
      </c>
      <c r="F249" s="7">
        <f t="shared" si="26"/>
        <v>43</v>
      </c>
      <c r="G249" t="s">
        <v>122</v>
      </c>
      <c r="H249" s="7" t="str">
        <f t="shared" si="27"/>
        <v>Italy</v>
      </c>
      <c r="I249" t="s">
        <v>321</v>
      </c>
      <c r="J249" s="7" t="str">
        <f>TEXT(
  IFERROR(
    DATEVALUE(SUBSTITUTE(SUBSTITUTE(TRIM(I249),"T"," "),"Z","")),
    IFERROR(
      DATE(
        RIGHT(TRIM(I249),4),
        MID(TRIM(I249),4,2),
        LEFT(TRIM(I249),2)
      ),
      DATE(
        VALUE(RIGHT(TRIM(I249),4)),
        MATCH(LEFT(TRIM(I249),FIND(" ",TRIM(I249))-1),
          {"January","February","March","April","May","June","July","August","September","October","November","December"},0),
        VALUE(MID(TRIM(I249),
          FIND(" ",TRIM(I249))+1,
          FIND(" ",TRIM(I249),FIND(" ",TRIM(I249))+1)-FIND(" ",TRIM(I249))-1))
      )
    )
  ),
"yyyy-mm-dd")</f>
        <v>2023-09-03</v>
      </c>
      <c r="K249" s="5" t="str">
        <f t="shared" si="28"/>
        <v>Sep</v>
      </c>
      <c r="L249">
        <v>1698744611</v>
      </c>
      <c r="M249" s="11">
        <f t="shared" si="29"/>
        <v>45230.395960648151</v>
      </c>
      <c r="O249" s="7">
        <f t="shared" si="30"/>
        <v>0</v>
      </c>
      <c r="P249" t="s">
        <v>118</v>
      </c>
      <c r="Q249" s="7" t="str">
        <f t="shared" si="31"/>
        <v>High engagement</v>
      </c>
    </row>
    <row r="250" spans="1:17">
      <c r="A250">
        <v>1554</v>
      </c>
      <c r="B250" t="s">
        <v>120</v>
      </c>
      <c r="C250" s="9" t="str">
        <f t="shared" si="24"/>
        <v>Sarah Johnson</v>
      </c>
      <c r="D250" s="7" t="str">
        <f t="shared" si="25"/>
        <v xml:space="preserve"> Sarah Johnson </v>
      </c>
      <c r="E250">
        <v>56</v>
      </c>
      <c r="F250" s="7">
        <f t="shared" si="26"/>
        <v>56</v>
      </c>
      <c r="G250" t="s">
        <v>54</v>
      </c>
      <c r="H250" s="7" t="str">
        <f t="shared" si="27"/>
        <v>Brazil</v>
      </c>
      <c r="I250" t="s">
        <v>322</v>
      </c>
      <c r="J250" s="7" t="str">
        <f>TEXT(
  IFERROR(
    DATEVALUE(SUBSTITUTE(SUBSTITUTE(TRIM(I250),"T"," "),"Z","")),
    IFERROR(
      DATE(
        RIGHT(TRIM(I250),4),
        MID(TRIM(I250),4,2),
        LEFT(TRIM(I250),2)
      ),
      DATE(
        VALUE(RIGHT(TRIM(I250),4)),
        MATCH(LEFT(TRIM(I250),FIND(" ",TRIM(I250))-1),
          {"January","February","March","April","May","June","July","August","September","October","November","December"},0),
        VALUE(MID(TRIM(I250),
          FIND(" ",TRIM(I250))+1,
          FIND(" ",TRIM(I250),FIND(" ",TRIM(I250))+1)-FIND(" ",TRIM(I250))-1))
      )
    )
  ),
"yyyy-mm-dd")</f>
        <v>2023-01-30</v>
      </c>
      <c r="K250" s="5" t="str">
        <f t="shared" si="28"/>
        <v>Jan</v>
      </c>
      <c r="L250">
        <v>1690288799</v>
      </c>
      <c r="M250" s="11">
        <f t="shared" si="29"/>
        <v>45132.527766203704</v>
      </c>
      <c r="N250">
        <v>542.58000000000004</v>
      </c>
      <c r="O250" s="7">
        <f t="shared" si="30"/>
        <v>542.58000000000004</v>
      </c>
      <c r="P250" t="s">
        <v>33</v>
      </c>
      <c r="Q250" s="7" t="str">
        <f t="shared" si="31"/>
        <v>Frequent buyer n</v>
      </c>
    </row>
    <row r="251" spans="1:17">
      <c r="A251">
        <v>1206</v>
      </c>
      <c r="B251" t="s">
        <v>72</v>
      </c>
      <c r="C251" s="9" t="str">
        <f t="shared" si="24"/>
        <v>Emily Davis</v>
      </c>
      <c r="D251" s="7" t="str">
        <f t="shared" si="25"/>
        <v>Emily Davis</v>
      </c>
      <c r="E251">
        <v>52</v>
      </c>
      <c r="F251" s="7">
        <f t="shared" si="26"/>
        <v>52</v>
      </c>
      <c r="G251" t="s">
        <v>29</v>
      </c>
      <c r="H251" s="7" t="str">
        <f t="shared" si="27"/>
        <v>United States</v>
      </c>
      <c r="I251" t="s">
        <v>323</v>
      </c>
      <c r="J251" s="7" t="str">
        <f>TEXT(
  IFERROR(
    DATEVALUE(SUBSTITUTE(SUBSTITUTE(TRIM(I251),"T"," "),"Z","")),
    IFERROR(
      DATE(
        RIGHT(TRIM(I251),4),
        MID(TRIM(I251),4,2),
        LEFT(TRIM(I251),2)
      ),
      DATE(
        VALUE(RIGHT(TRIM(I251),4)),
        MATCH(LEFT(TRIM(I251),FIND(" ",TRIM(I251))-1),
          {"January","February","March","April","May","June","July","August","September","October","November","December"},0),
        VALUE(MID(TRIM(I251),
          FIND(" ",TRIM(I251))+1,
          FIND(" ",TRIM(I251),FIND(" ",TRIM(I251))+1)-FIND(" ",TRIM(I251))-1))
      )
    )
  ),
"yyyy-mm-dd")</f>
        <v>2023-04-23</v>
      </c>
      <c r="K251" s="5" t="str">
        <f t="shared" si="28"/>
        <v>Apr</v>
      </c>
      <c r="L251">
        <v>1700927997</v>
      </c>
      <c r="M251" s="11">
        <f t="shared" si="29"/>
        <v>45255.666631944448</v>
      </c>
      <c r="O251" s="7">
        <f t="shared" si="30"/>
        <v>0</v>
      </c>
      <c r="P251" t="s">
        <v>84</v>
      </c>
      <c r="Q251" s="7" t="str">
        <f t="shared" si="31"/>
        <v xml:space="preserve">Newsletter subscriber </v>
      </c>
    </row>
    <row r="252" spans="1:17">
      <c r="A252">
        <v>1386</v>
      </c>
      <c r="B252" t="s">
        <v>131</v>
      </c>
      <c r="C252" s="9" t="str">
        <f t="shared" si="24"/>
        <v>Isabella Martinez</v>
      </c>
      <c r="D252" s="7" t="str">
        <f t="shared" si="25"/>
        <v>Isabella Martinez</v>
      </c>
      <c r="E252">
        <v>29</v>
      </c>
      <c r="F252" s="7">
        <f t="shared" si="26"/>
        <v>29</v>
      </c>
      <c r="G252" t="s">
        <v>29</v>
      </c>
      <c r="H252" s="7" t="str">
        <f t="shared" si="27"/>
        <v>United States</v>
      </c>
      <c r="I252" t="s">
        <v>324</v>
      </c>
      <c r="J252" s="7" t="str">
        <f>TEXT(
  IFERROR(
    DATEVALUE(SUBSTITUTE(SUBSTITUTE(TRIM(I252),"T"," "),"Z","")),
    IFERROR(
      DATE(
        RIGHT(TRIM(I252),4),
        MID(TRIM(I252),4,2),
        LEFT(TRIM(I252),2)
      ),
      DATE(
        VALUE(RIGHT(TRIM(I252),4)),
        MATCH(LEFT(TRIM(I252),FIND(" ",TRIM(I252))-1),
          {"January","February","March","April","May","June","July","August","September","October","November","December"},0),
        VALUE(MID(TRIM(I252),
          FIND(" ",TRIM(I252))+1,
          FIND(" ",TRIM(I252),FIND(" ",TRIM(I252))+1)-FIND(" ",TRIM(I252))-1))
      )
    )
  ),
"yyyy-mm-dd")</f>
        <v>2023-01-29</v>
      </c>
      <c r="K252" s="5" t="str">
        <f t="shared" si="28"/>
        <v>Jan</v>
      </c>
      <c r="L252">
        <v>1692712453</v>
      </c>
      <c r="M252" s="11">
        <f t="shared" si="29"/>
        <v>45160.579317129625</v>
      </c>
      <c r="O252" s="7">
        <f t="shared" si="30"/>
        <v>0</v>
      </c>
      <c r="P252" t="s">
        <v>20</v>
      </c>
      <c r="Q252" s="7" t="str">
        <f t="shared" si="31"/>
        <v xml:space="preserve">Great customer </v>
      </c>
    </row>
    <row r="253" spans="1:17">
      <c r="A253">
        <v>1680</v>
      </c>
      <c r="B253" t="s">
        <v>78</v>
      </c>
      <c r="C253" s="9" t="str">
        <f t="shared" si="24"/>
        <v>Mia Thompson</v>
      </c>
      <c r="D253" s="7" t="str">
        <f t="shared" si="25"/>
        <v xml:space="preserve"> Mia Thompson </v>
      </c>
      <c r="E253">
        <v>39</v>
      </c>
      <c r="F253" s="7">
        <f t="shared" si="26"/>
        <v>39</v>
      </c>
      <c r="G253" t="s">
        <v>48</v>
      </c>
      <c r="H253" s="7" t="str">
        <f t="shared" si="27"/>
        <v>France</v>
      </c>
      <c r="I253" t="s">
        <v>325</v>
      </c>
      <c r="J253" s="7" t="str">
        <f>TEXT(
  IFERROR(
    DATEVALUE(SUBSTITUTE(SUBSTITUTE(TRIM(I253),"T"," "),"Z","")),
    IFERROR(
      DATE(
        RIGHT(TRIM(I253),4),
        MID(TRIM(I253),4,2),
        LEFT(TRIM(I253),2)
      ),
      DATE(
        VALUE(RIGHT(TRIM(I253),4)),
        MATCH(LEFT(TRIM(I253),FIND(" ",TRIM(I253))-1),
          {"January","February","March","April","May","June","July","August","September","October","November","December"},0),
        VALUE(MID(TRIM(I253),
          FIND(" ",TRIM(I253))+1,
          FIND(" ",TRIM(I253),FIND(" ",TRIM(I253))+1)-FIND(" ",TRIM(I253))-1))
      )
    )
  ),
"yyyy-mm-dd")</f>
        <v>2023-06-15</v>
      </c>
      <c r="K253" s="5" t="str">
        <f t="shared" si="28"/>
        <v>Jun</v>
      </c>
      <c r="L253">
        <v>1673259274</v>
      </c>
      <c r="M253" s="11">
        <f t="shared" si="29"/>
        <v>44935.426782407405</v>
      </c>
      <c r="N253">
        <v>230.09</v>
      </c>
      <c r="O253" s="7">
        <f t="shared" si="30"/>
        <v>230.09</v>
      </c>
      <c r="P253" t="s">
        <v>52</v>
      </c>
      <c r="Q253" s="7" t="str">
        <f t="shared" si="31"/>
        <v xml:space="preserve">Prefers email </v>
      </c>
    </row>
    <row r="254" spans="1:17">
      <c r="A254">
        <v>2078</v>
      </c>
      <c r="B254" t="s">
        <v>90</v>
      </c>
      <c r="C254" s="9" t="str">
        <f t="shared" si="24"/>
        <v>Olivia Wilson</v>
      </c>
      <c r="D254" s="7" t="str">
        <f t="shared" si="25"/>
        <v>Olivia Wilson</v>
      </c>
      <c r="E254">
        <v>63</v>
      </c>
      <c r="F254" s="7">
        <f t="shared" si="26"/>
        <v>63</v>
      </c>
      <c r="G254" t="s">
        <v>116</v>
      </c>
      <c r="H254" s="7" t="str">
        <f t="shared" si="27"/>
        <v>China</v>
      </c>
      <c r="I254" t="s">
        <v>326</v>
      </c>
      <c r="J254" s="7" t="str">
        <f>TEXT(
  IFERROR(
    DATEVALUE(SUBSTITUTE(SUBSTITUTE(TRIM(I254),"T"," "),"Z","")),
    IFERROR(
      DATE(
        RIGHT(TRIM(I254),4),
        MID(TRIM(I254),4,2),
        LEFT(TRIM(I254),2)
      ),
      DATE(
        VALUE(RIGHT(TRIM(I254),4)),
        MATCH(LEFT(TRIM(I254),FIND(" ",TRIM(I254))-1),
          {"January","February","March","April","May","June","July","August","September","October","November","December"},0),
        VALUE(MID(TRIM(I254),
          FIND(" ",TRIM(I254))+1,
          FIND(" ",TRIM(I254),FIND(" ",TRIM(I254))+1)-FIND(" ",TRIM(I254))-1))
      )
    )
  ),
"yyyy-mm-dd")</f>
        <v>2023-10-28</v>
      </c>
      <c r="K254" s="5" t="str">
        <f t="shared" si="28"/>
        <v>Oct</v>
      </c>
      <c r="L254">
        <v>1683817115</v>
      </c>
      <c r="M254" s="11">
        <f t="shared" si="29"/>
        <v>45057.624016203699</v>
      </c>
      <c r="N254">
        <v>459.63</v>
      </c>
      <c r="O254" s="7">
        <f t="shared" si="30"/>
        <v>459.63</v>
      </c>
      <c r="P254" t="s">
        <v>33</v>
      </c>
      <c r="Q254" s="7" t="str">
        <f t="shared" si="31"/>
        <v>Frequent buyer n</v>
      </c>
    </row>
    <row r="255" spans="1:17">
      <c r="A255">
        <v>1895</v>
      </c>
      <c r="B255" t="s">
        <v>185</v>
      </c>
      <c r="C255" s="9" t="str">
        <f t="shared" si="24"/>
        <v>Liam O’Connor</v>
      </c>
      <c r="D255" s="7" t="str">
        <f t="shared" si="25"/>
        <v>Liam O’Connor</v>
      </c>
      <c r="E255">
        <v>59</v>
      </c>
      <c r="F255" s="7">
        <f t="shared" si="26"/>
        <v>59</v>
      </c>
      <c r="G255" t="s">
        <v>62</v>
      </c>
      <c r="H255" s="7" t="str">
        <f t="shared" si="27"/>
        <v>Ireland</v>
      </c>
      <c r="I255" t="s">
        <v>327</v>
      </c>
      <c r="J255" s="7" t="str">
        <f>TEXT(
  IFERROR(
    DATEVALUE(SUBSTITUTE(SUBSTITUTE(TRIM(I255),"T"," "),"Z","")),
    IFERROR(
      DATE(
        RIGHT(TRIM(I255),4),
        MID(TRIM(I255),4,2),
        LEFT(TRIM(I255),2)
      ),
      DATE(
        VALUE(RIGHT(TRIM(I255),4)),
        MATCH(LEFT(TRIM(I255),FIND(" ",TRIM(I255))-1),
          {"January","February","March","April","May","June","July","August","September","October","November","December"},0),
        VALUE(MID(TRIM(I255),
          FIND(" ",TRIM(I255))+1,
          FIND(" ",TRIM(I255),FIND(" ",TRIM(I255))+1)-FIND(" ",TRIM(I255))-1))
      )
    )
  ),
"yyyy-mm-dd")</f>
        <v>2023-12-22</v>
      </c>
      <c r="K255" s="5" t="str">
        <f t="shared" si="28"/>
        <v>Dec</v>
      </c>
      <c r="L255">
        <v>1698931062</v>
      </c>
      <c r="M255" s="11">
        <f t="shared" si="29"/>
        <v>45232.55395833333</v>
      </c>
      <c r="N255">
        <v>541.66999999999996</v>
      </c>
      <c r="O255" s="7">
        <f t="shared" si="30"/>
        <v>541.66999999999996</v>
      </c>
      <c r="P255" t="s">
        <v>118</v>
      </c>
      <c r="Q255" s="7" t="str">
        <f t="shared" si="31"/>
        <v>High engagement</v>
      </c>
    </row>
    <row r="256" spans="1:17">
      <c r="A256">
        <v>1652</v>
      </c>
      <c r="B256" t="s">
        <v>78</v>
      </c>
      <c r="C256" s="9" t="str">
        <f t="shared" si="24"/>
        <v>Mia Thompson</v>
      </c>
      <c r="D256" s="7" t="str">
        <f t="shared" si="25"/>
        <v xml:space="preserve"> Mia Thompson </v>
      </c>
      <c r="F256" s="7">
        <f t="shared" si="26"/>
        <v>43</v>
      </c>
      <c r="G256" t="s">
        <v>18</v>
      </c>
      <c r="H256" s="7" t="str">
        <f t="shared" si="27"/>
        <v>United Kingdom</v>
      </c>
      <c r="I256" t="s">
        <v>98</v>
      </c>
      <c r="J256" s="7" t="str">
        <f>TEXT(
  IFERROR(
    DATEVALUE(SUBSTITUTE(SUBSTITUTE(TRIM(I256),"T"," "),"Z","")),
    IFERROR(
      DATE(
        RIGHT(TRIM(I256),4),
        MID(TRIM(I256),4,2),
        LEFT(TRIM(I256),2)
      ),
      DATE(
        VALUE(RIGHT(TRIM(I256),4)),
        MATCH(LEFT(TRIM(I256),FIND(" ",TRIM(I256))-1),
          {"January","February","March","April","May","June","July","August","September","October","November","December"},0),
        VALUE(MID(TRIM(I256),
          FIND(" ",TRIM(I256))+1,
          FIND(" ",TRIM(I256),FIND(" ",TRIM(I256))+1)-FIND(" ",TRIM(I256))-1))
      )
    )
  ),
"yyyy-mm-dd")</f>
        <v>2023-06-19</v>
      </c>
      <c r="K256" s="5" t="str">
        <f t="shared" si="28"/>
        <v>Jun</v>
      </c>
      <c r="L256">
        <v>1680509818</v>
      </c>
      <c r="M256" s="11">
        <f t="shared" si="29"/>
        <v>45019.34511574074</v>
      </c>
      <c r="O256" s="7">
        <f t="shared" si="30"/>
        <v>0</v>
      </c>
      <c r="P256" t="s">
        <v>33</v>
      </c>
      <c r="Q256" s="7" t="str">
        <f t="shared" si="31"/>
        <v>Frequent buyer n</v>
      </c>
    </row>
    <row r="257" spans="1:17">
      <c r="A257">
        <v>1182</v>
      </c>
      <c r="B257" t="s">
        <v>24</v>
      </c>
      <c r="C257" s="9" t="str">
        <f t="shared" si="24"/>
        <v>Renée Dupont</v>
      </c>
      <c r="D257" s="7" t="str">
        <f t="shared" si="25"/>
        <v>Renée Dupont</v>
      </c>
      <c r="F257" s="7">
        <f t="shared" si="26"/>
        <v>43</v>
      </c>
      <c r="G257" t="s">
        <v>29</v>
      </c>
      <c r="H257" s="7" t="str">
        <f t="shared" si="27"/>
        <v>United States</v>
      </c>
      <c r="I257" t="s">
        <v>328</v>
      </c>
      <c r="J257" s="7" t="str">
        <f>TEXT(
  IFERROR(
    DATEVALUE(SUBSTITUTE(SUBSTITUTE(TRIM(I257),"T"," "),"Z","")),
    IFERROR(
      DATE(
        RIGHT(TRIM(I257),4),
        MID(TRIM(I257),4,2),
        LEFT(TRIM(I257),2)
      ),
      DATE(
        VALUE(RIGHT(TRIM(I257),4)),
        MATCH(LEFT(TRIM(I257),FIND(" ",TRIM(I257))-1),
          {"January","February","March","April","May","June","July","August","September","October","November","December"},0),
        VALUE(MID(TRIM(I257),
          FIND(" ",TRIM(I257))+1,
          FIND(" ",TRIM(I257),FIND(" ",TRIM(I257))+1)-FIND(" ",TRIM(I257))-1))
      )
    )
  ),
"yyyy-mm-dd")</f>
        <v>2023-05-16</v>
      </c>
      <c r="K257" s="5" t="str">
        <f t="shared" si="28"/>
        <v>May</v>
      </c>
      <c r="L257">
        <v>1680897201</v>
      </c>
      <c r="M257" s="11">
        <f t="shared" si="29"/>
        <v>45023.828715277778</v>
      </c>
      <c r="O257" s="7">
        <f t="shared" si="30"/>
        <v>0</v>
      </c>
      <c r="P257" t="s">
        <v>58</v>
      </c>
      <c r="Q257" s="7" t="str">
        <f t="shared" si="31"/>
        <v>Student account</v>
      </c>
    </row>
    <row r="258" spans="1:17">
      <c r="A258">
        <v>1222</v>
      </c>
      <c r="B258" t="s">
        <v>187</v>
      </c>
      <c r="C258" s="9" t="str">
        <f t="shared" si="24"/>
        <v>André Santos</v>
      </c>
      <c r="D258" s="7" t="str">
        <f t="shared" si="25"/>
        <v xml:space="preserve"> André Santos </v>
      </c>
      <c r="E258">
        <v>46</v>
      </c>
      <c r="F258" s="7">
        <f t="shared" si="26"/>
        <v>46</v>
      </c>
      <c r="G258" t="s">
        <v>44</v>
      </c>
      <c r="H258" s="7" t="str">
        <f t="shared" si="27"/>
        <v>UAE</v>
      </c>
      <c r="I258" t="s">
        <v>221</v>
      </c>
      <c r="J258" s="7" t="str">
        <f>TEXT(
  IFERROR(
    DATEVALUE(SUBSTITUTE(SUBSTITUTE(TRIM(I258),"T"," "),"Z","")),
    IFERROR(
      DATE(
        RIGHT(TRIM(I258),4),
        MID(TRIM(I258),4,2),
        LEFT(TRIM(I258),2)
      ),
      DATE(
        VALUE(RIGHT(TRIM(I258),4)),
        MATCH(LEFT(TRIM(I258),FIND(" ",TRIM(I258))-1),
          {"January","February","March","April","May","June","July","August","September","October","November","December"},0),
        VALUE(MID(TRIM(I258),
          FIND(" ",TRIM(I258))+1,
          FIND(" ",TRIM(I258),FIND(" ",TRIM(I258))+1)-FIND(" ",TRIM(I258))-1))
      )
    )
  ),
"yyyy-mm-dd")</f>
        <v>2023-03-27</v>
      </c>
      <c r="K258" s="5" t="str">
        <f t="shared" si="28"/>
        <v>Mar</v>
      </c>
      <c r="L258">
        <v>1689069086</v>
      </c>
      <c r="M258" s="11">
        <f t="shared" si="29"/>
        <v>45118.410717592589</v>
      </c>
      <c r="O258" s="7">
        <f t="shared" si="30"/>
        <v>0</v>
      </c>
      <c r="P258" t="s">
        <v>46</v>
      </c>
      <c r="Q258" s="7" t="str">
        <f t="shared" si="31"/>
        <v>Corporate account</v>
      </c>
    </row>
    <row r="259" spans="1:17">
      <c r="A259">
        <v>1042</v>
      </c>
      <c r="B259" t="s">
        <v>195</v>
      </c>
      <c r="C259" s="9" t="str">
        <f t="shared" ref="C259:C322" si="32">TRIM(B259)</f>
        <v>Lucas Silva</v>
      </c>
      <c r="D259" s="7" t="str">
        <f t="shared" ref="D259:D322" si="33">PROPER(B259)</f>
        <v xml:space="preserve"> Lucas Silva </v>
      </c>
      <c r="F259" s="7">
        <f t="shared" ref="F259:F322" si="34">IF(OR(E259="", ISBLANK(E259)), MEDIAN($E$2:$E$1501), E259)</f>
        <v>43</v>
      </c>
      <c r="G259" t="s">
        <v>48</v>
      </c>
      <c r="H259" s="7" t="str">
        <f t="shared" ref="H259:H322" si="35">TRIM(G259)</f>
        <v>France</v>
      </c>
      <c r="I259" t="s">
        <v>329</v>
      </c>
      <c r="J259" s="7" t="str">
        <f>TEXT(
  IFERROR(
    DATEVALUE(SUBSTITUTE(SUBSTITUTE(TRIM(I259),"T"," "),"Z","")),
    IFERROR(
      DATE(
        RIGHT(TRIM(I259),4),
        MID(TRIM(I259),4,2),
        LEFT(TRIM(I259),2)
      ),
      DATE(
        VALUE(RIGHT(TRIM(I259),4)),
        MATCH(LEFT(TRIM(I259),FIND(" ",TRIM(I259))-1),
          {"January","February","March","April","May","June","July","August","September","October","November","December"},0),
        VALUE(MID(TRIM(I259),
          FIND(" ",TRIM(I259))+1,
          FIND(" ",TRIM(I259),FIND(" ",TRIM(I259))+1)-FIND(" ",TRIM(I259))-1))
      )
    )
  ),
"yyyy-mm-dd")</f>
        <v>2023-07-12</v>
      </c>
      <c r="K259" s="5" t="str">
        <f t="shared" ref="K259:K322" si="36">TEXT(J259,"mmm")</f>
        <v>Jul</v>
      </c>
      <c r="L259">
        <v>1697085343</v>
      </c>
      <c r="M259" s="11">
        <f t="shared" ref="M259:M322" si="37">((L259)/86400)+DATE(1970,1,1)</f>
        <v>45211.191469907411</v>
      </c>
      <c r="N259">
        <v>121.75</v>
      </c>
      <c r="O259" s="7">
        <f t="shared" ref="O259:O322" si="38">IF(N259="", 0, N259)</f>
        <v>121.75</v>
      </c>
      <c r="P259" t="s">
        <v>84</v>
      </c>
      <c r="Q259" s="7" t="str">
        <f t="shared" ref="Q259:Q322" si="39">SUBSTITUTE(SUBSTITUTE(SUBSTITUTE(P259,"$",""),"%",""),"ñ","n")</f>
        <v xml:space="preserve">Newsletter subscriber </v>
      </c>
    </row>
    <row r="260" spans="1:17">
      <c r="A260">
        <v>1989</v>
      </c>
      <c r="B260" t="s">
        <v>31</v>
      </c>
      <c r="C260" s="9" t="str">
        <f t="shared" si="32"/>
        <v>Renée Dupont</v>
      </c>
      <c r="D260" s="7" t="str">
        <f t="shared" si="33"/>
        <v xml:space="preserve"> Renée Dupont </v>
      </c>
      <c r="E260">
        <v>28</v>
      </c>
      <c r="F260" s="7">
        <f t="shared" si="34"/>
        <v>28</v>
      </c>
      <c r="G260" t="s">
        <v>44</v>
      </c>
      <c r="H260" s="7" t="str">
        <f t="shared" si="35"/>
        <v>UAE</v>
      </c>
      <c r="I260" t="s">
        <v>330</v>
      </c>
      <c r="J260" s="7" t="str">
        <f>TEXT(
  IFERROR(
    DATEVALUE(SUBSTITUTE(SUBSTITUTE(TRIM(I260),"T"," "),"Z","")),
    IFERROR(
      DATE(
        RIGHT(TRIM(I260),4),
        MID(TRIM(I260),4,2),
        LEFT(TRIM(I260),2)
      ),
      DATE(
        VALUE(RIGHT(TRIM(I260),4)),
        MATCH(LEFT(TRIM(I260),FIND(" ",TRIM(I260))-1),
          {"January","February","March","April","May","June","July","August","September","October","November","December"},0),
        VALUE(MID(TRIM(I260),
          FIND(" ",TRIM(I260))+1,
          FIND(" ",TRIM(I260),FIND(" ",TRIM(I260))+1)-FIND(" ",TRIM(I260))-1))
      )
    )
  ),
"yyyy-mm-dd")</f>
        <v>2023-03-22</v>
      </c>
      <c r="K260" s="5" t="str">
        <f t="shared" si="36"/>
        <v>Mar</v>
      </c>
      <c r="L260">
        <v>1675921648</v>
      </c>
      <c r="M260" s="11">
        <f t="shared" si="37"/>
        <v>44966.241296296299</v>
      </c>
      <c r="N260">
        <v>503.33</v>
      </c>
      <c r="O260" s="7">
        <f t="shared" si="38"/>
        <v>503.33</v>
      </c>
      <c r="P260" t="s">
        <v>118</v>
      </c>
      <c r="Q260" s="7" t="str">
        <f t="shared" si="39"/>
        <v>High engagement</v>
      </c>
    </row>
    <row r="261" spans="1:17">
      <c r="A261">
        <v>2135</v>
      </c>
      <c r="B261" t="s">
        <v>88</v>
      </c>
      <c r="C261" s="9" t="str">
        <f t="shared" si="32"/>
        <v>André Santos</v>
      </c>
      <c r="D261" s="7" t="str">
        <f t="shared" si="33"/>
        <v>André Santos</v>
      </c>
      <c r="E261">
        <v>34</v>
      </c>
      <c r="F261" s="7">
        <f t="shared" si="34"/>
        <v>34</v>
      </c>
      <c r="G261" t="s">
        <v>102</v>
      </c>
      <c r="H261" s="7" t="str">
        <f t="shared" si="35"/>
        <v>Mexico</v>
      </c>
      <c r="I261" t="s">
        <v>331</v>
      </c>
      <c r="J261" s="7" t="str">
        <f>TEXT(
  IFERROR(
    DATEVALUE(SUBSTITUTE(SUBSTITUTE(TRIM(I261),"T"," "),"Z","")),
    IFERROR(
      DATE(
        RIGHT(TRIM(I261),4),
        MID(TRIM(I261),4,2),
        LEFT(TRIM(I261),2)
      ),
      DATE(
        VALUE(RIGHT(TRIM(I261),4)),
        MATCH(LEFT(TRIM(I261),FIND(" ",TRIM(I261))-1),
          {"January","February","March","April","May","June","July","August","September","October","November","December"},0),
        VALUE(MID(TRIM(I261),
          FIND(" ",TRIM(I261))+1,
          FIND(" ",TRIM(I261),FIND(" ",TRIM(I261))+1)-FIND(" ",TRIM(I261))-1))
      )
    )
  ),
"yyyy-mm-dd")</f>
        <v>2023-06-02</v>
      </c>
      <c r="K261" s="5" t="str">
        <f t="shared" si="36"/>
        <v>Jun</v>
      </c>
      <c r="L261">
        <v>1675742404</v>
      </c>
      <c r="M261" s="11">
        <f t="shared" si="37"/>
        <v>44964.166712962964</v>
      </c>
      <c r="O261" s="7">
        <f t="shared" si="38"/>
        <v>0</v>
      </c>
      <c r="P261" t="s">
        <v>33</v>
      </c>
      <c r="Q261" s="7" t="str">
        <f t="shared" si="39"/>
        <v>Frequent buyer n</v>
      </c>
    </row>
    <row r="262" spans="1:17">
      <c r="A262">
        <v>1112</v>
      </c>
      <c r="B262" t="s">
        <v>34</v>
      </c>
      <c r="C262" s="9" t="str">
        <f t="shared" si="32"/>
        <v>Olivia Wilson</v>
      </c>
      <c r="D262" s="7" t="str">
        <f t="shared" si="33"/>
        <v xml:space="preserve"> Olivia Wilson </v>
      </c>
      <c r="E262">
        <v>36</v>
      </c>
      <c r="F262" s="7">
        <f t="shared" si="34"/>
        <v>36</v>
      </c>
      <c r="G262" t="s">
        <v>60</v>
      </c>
      <c r="H262" s="7" t="str">
        <f t="shared" si="35"/>
        <v>Egypt</v>
      </c>
      <c r="I262" t="s">
        <v>332</v>
      </c>
      <c r="J262" s="7" t="str">
        <f>TEXT(
  IFERROR(
    DATEVALUE(SUBSTITUTE(SUBSTITUTE(TRIM(I262),"T"," "),"Z","")),
    IFERROR(
      DATE(
        RIGHT(TRIM(I262),4),
        MID(TRIM(I262),4,2),
        LEFT(TRIM(I262),2)
      ),
      DATE(
        VALUE(RIGHT(TRIM(I262),4)),
        MATCH(LEFT(TRIM(I262),FIND(" ",TRIM(I262))-1),
          {"January","February","March","April","May","June","July","August","September","October","November","December"},0),
        VALUE(MID(TRIM(I262),
          FIND(" ",TRIM(I262))+1,
          FIND(" ",TRIM(I262),FIND(" ",TRIM(I262))+1)-FIND(" ",TRIM(I262))-1))
      )
    )
  ),
"yyyy-mm-dd")</f>
        <v>2023-04-13</v>
      </c>
      <c r="K262" s="5" t="str">
        <f t="shared" si="36"/>
        <v>Apr</v>
      </c>
      <c r="L262">
        <v>1673387546</v>
      </c>
      <c r="M262" s="11">
        <f t="shared" si="37"/>
        <v>44936.911412037036</v>
      </c>
      <c r="O262" s="7">
        <f t="shared" si="38"/>
        <v>0</v>
      </c>
      <c r="P262" t="s">
        <v>52</v>
      </c>
      <c r="Q262" s="7" t="str">
        <f t="shared" si="39"/>
        <v xml:space="preserve">Prefers email </v>
      </c>
    </row>
    <row r="263" spans="1:17">
      <c r="A263">
        <v>1970</v>
      </c>
      <c r="B263" t="s">
        <v>140</v>
      </c>
      <c r="C263" s="9" t="str">
        <f t="shared" si="32"/>
        <v>Anne Müller</v>
      </c>
      <c r="D263" s="7" t="str">
        <f t="shared" si="33"/>
        <v>Anne Müller</v>
      </c>
      <c r="F263" s="7">
        <f t="shared" si="34"/>
        <v>43</v>
      </c>
      <c r="G263" t="s">
        <v>54</v>
      </c>
      <c r="H263" s="7" t="str">
        <f t="shared" si="35"/>
        <v>Brazil</v>
      </c>
      <c r="I263" t="s">
        <v>333</v>
      </c>
      <c r="J263" s="7" t="str">
        <f>TEXT(
  IFERROR(
    DATEVALUE(SUBSTITUTE(SUBSTITUTE(TRIM(I263),"T"," "),"Z","")),
    IFERROR(
      DATE(
        RIGHT(TRIM(I263),4),
        MID(TRIM(I263),4,2),
        LEFT(TRIM(I263),2)
      ),
      DATE(
        VALUE(RIGHT(TRIM(I263),4)),
        MATCH(LEFT(TRIM(I263),FIND(" ",TRIM(I263))-1),
          {"January","February","March","April","May","June","July","August","September","October","November","December"},0),
        VALUE(MID(TRIM(I263),
          FIND(" ",TRIM(I263))+1,
          FIND(" ",TRIM(I263),FIND(" ",TRIM(I263))+1)-FIND(" ",TRIM(I263))-1))
      )
    )
  ),
"yyyy-mm-dd")</f>
        <v>2023-02-16</v>
      </c>
      <c r="K263" s="5" t="str">
        <f t="shared" si="36"/>
        <v>Feb</v>
      </c>
      <c r="L263">
        <v>1685527252</v>
      </c>
      <c r="M263" s="11">
        <f t="shared" si="37"/>
        <v>45077.417268518519</v>
      </c>
      <c r="O263" s="7">
        <f t="shared" si="38"/>
        <v>0</v>
      </c>
      <c r="P263" t="s">
        <v>84</v>
      </c>
      <c r="Q263" s="7" t="str">
        <f t="shared" si="39"/>
        <v xml:space="preserve">Newsletter subscriber </v>
      </c>
    </row>
    <row r="264" spans="1:17">
      <c r="A264">
        <v>1383</v>
      </c>
      <c r="B264" t="s">
        <v>64</v>
      </c>
      <c r="C264" s="9" t="str">
        <f t="shared" si="32"/>
        <v>Ethan Clark</v>
      </c>
      <c r="D264" s="7" t="str">
        <f t="shared" si="33"/>
        <v xml:space="preserve"> Ethan Clark </v>
      </c>
      <c r="F264" s="7">
        <f t="shared" si="34"/>
        <v>43</v>
      </c>
      <c r="G264" t="s">
        <v>38</v>
      </c>
      <c r="H264" s="7" t="str">
        <f t="shared" si="35"/>
        <v>Spain</v>
      </c>
      <c r="I264" t="s">
        <v>334</v>
      </c>
      <c r="J264" s="7" t="str">
        <f>TEXT(
  IFERROR(
    DATEVALUE(SUBSTITUTE(SUBSTITUTE(TRIM(I264),"T"," "),"Z","")),
    IFERROR(
      DATE(
        RIGHT(TRIM(I264),4),
        MID(TRIM(I264),4,2),
        LEFT(TRIM(I264),2)
      ),
      DATE(
        VALUE(RIGHT(TRIM(I264),4)),
        MATCH(LEFT(TRIM(I264),FIND(" ",TRIM(I264))-1),
          {"January","February","March","April","May","June","July","August","September","October","November","December"},0),
        VALUE(MID(TRIM(I264),
          FIND(" ",TRIM(I264))+1,
          FIND(" ",TRIM(I264),FIND(" ",TRIM(I264))+1)-FIND(" ",TRIM(I264))-1))
      )
    )
  ),
"yyyy-mm-dd")</f>
        <v>2023-05-18</v>
      </c>
      <c r="K264" s="5" t="str">
        <f t="shared" si="36"/>
        <v>May</v>
      </c>
      <c r="L264">
        <v>1674592274</v>
      </c>
      <c r="M264" s="11">
        <f t="shared" si="37"/>
        <v>44950.855023148149</v>
      </c>
      <c r="N264">
        <v>235.18</v>
      </c>
      <c r="O264" s="7">
        <f t="shared" si="38"/>
        <v>235.18</v>
      </c>
      <c r="P264" t="s">
        <v>52</v>
      </c>
      <c r="Q264" s="7" t="str">
        <f t="shared" si="39"/>
        <v xml:space="preserve">Prefers email </v>
      </c>
    </row>
    <row r="265" spans="1:17">
      <c r="A265">
        <v>1705</v>
      </c>
      <c r="B265" t="s">
        <v>148</v>
      </c>
      <c r="C265" s="9" t="str">
        <f t="shared" si="32"/>
        <v>Chloe Dubois</v>
      </c>
      <c r="D265" s="7" t="str">
        <f t="shared" si="33"/>
        <v>Chloe Dubois</v>
      </c>
      <c r="E265">
        <v>32</v>
      </c>
      <c r="F265" s="7">
        <f t="shared" si="34"/>
        <v>32</v>
      </c>
      <c r="G265" t="s">
        <v>29</v>
      </c>
      <c r="H265" s="7" t="str">
        <f t="shared" si="35"/>
        <v>United States</v>
      </c>
      <c r="I265" t="s">
        <v>335</v>
      </c>
      <c r="J265" s="7" t="str">
        <f>TEXT(
  IFERROR(
    DATEVALUE(SUBSTITUTE(SUBSTITUTE(TRIM(I265),"T"," "),"Z","")),
    IFERROR(
      DATE(
        RIGHT(TRIM(I265),4),
        MID(TRIM(I265),4,2),
        LEFT(TRIM(I265),2)
      ),
      DATE(
        VALUE(RIGHT(TRIM(I265),4)),
        MATCH(LEFT(TRIM(I265),FIND(" ",TRIM(I265))-1),
          {"January","February","March","April","May","June","July","August","September","October","November","December"},0),
        VALUE(MID(TRIM(I265),
          FIND(" ",TRIM(I265))+1,
          FIND(" ",TRIM(I265),FIND(" ",TRIM(I265))+1)-FIND(" ",TRIM(I265))-1))
      )
    )
  ),
"yyyy-mm-dd")</f>
        <v>2023-07-18</v>
      </c>
      <c r="K265" s="5" t="str">
        <f t="shared" si="36"/>
        <v>Jul</v>
      </c>
      <c r="L265">
        <v>1686570961</v>
      </c>
      <c r="M265" s="11">
        <f t="shared" si="37"/>
        <v>45089.497233796297</v>
      </c>
      <c r="O265" s="7">
        <f t="shared" si="38"/>
        <v>0</v>
      </c>
      <c r="P265" t="s">
        <v>27</v>
      </c>
      <c r="Q265" s="7" t="str">
        <f t="shared" si="39"/>
        <v xml:space="preserve">Holiday signup </v>
      </c>
    </row>
    <row r="266" spans="1:17">
      <c r="A266">
        <v>1920</v>
      </c>
      <c r="B266" t="s">
        <v>124</v>
      </c>
      <c r="C266" s="9" t="str">
        <f t="shared" si="32"/>
        <v>Sarah Johnson</v>
      </c>
      <c r="D266" s="7" t="str">
        <f t="shared" si="33"/>
        <v>Sarah Johnson</v>
      </c>
      <c r="E266">
        <v>28</v>
      </c>
      <c r="F266" s="7">
        <f t="shared" si="34"/>
        <v>28</v>
      </c>
      <c r="G266" t="s">
        <v>18</v>
      </c>
      <c r="H266" s="7" t="str">
        <f t="shared" si="35"/>
        <v>United Kingdom</v>
      </c>
      <c r="I266" t="s">
        <v>336</v>
      </c>
      <c r="J266" s="7" t="str">
        <f>TEXT(
  IFERROR(
    DATEVALUE(SUBSTITUTE(SUBSTITUTE(TRIM(I266),"T"," "),"Z","")),
    IFERROR(
      DATE(
        RIGHT(TRIM(I266),4),
        MID(TRIM(I266),4,2),
        LEFT(TRIM(I266),2)
      ),
      DATE(
        VALUE(RIGHT(TRIM(I266),4)),
        MATCH(LEFT(TRIM(I266),FIND(" ",TRIM(I266))-1),
          {"January","February","March","April","May","June","July","August","September","October","November","December"},0),
        VALUE(MID(TRIM(I266),
          FIND(" ",TRIM(I266))+1,
          FIND(" ",TRIM(I266),FIND(" ",TRIM(I266))+1)-FIND(" ",TRIM(I266))-1))
      )
    )
  ),
"yyyy-mm-dd")</f>
        <v>2023-01-22</v>
      </c>
      <c r="K266" s="5" t="str">
        <f t="shared" si="36"/>
        <v>Jan</v>
      </c>
      <c r="L266">
        <v>1675153611</v>
      </c>
      <c r="M266" s="11">
        <f t="shared" si="37"/>
        <v>44957.351979166662</v>
      </c>
      <c r="O266" s="7">
        <f t="shared" si="38"/>
        <v>0</v>
      </c>
      <c r="P266" t="s">
        <v>40</v>
      </c>
      <c r="Q266" s="7" t="str">
        <f t="shared" si="39"/>
        <v xml:space="preserve">VIP client </v>
      </c>
    </row>
    <row r="267" spans="1:17">
      <c r="A267">
        <v>1303</v>
      </c>
      <c r="B267" t="s">
        <v>78</v>
      </c>
      <c r="C267" s="9" t="str">
        <f t="shared" si="32"/>
        <v>Mia Thompson</v>
      </c>
      <c r="D267" s="7" t="str">
        <f t="shared" si="33"/>
        <v xml:space="preserve"> Mia Thompson </v>
      </c>
      <c r="E267">
        <v>64</v>
      </c>
      <c r="F267" s="7">
        <f t="shared" si="34"/>
        <v>64</v>
      </c>
      <c r="G267" t="s">
        <v>116</v>
      </c>
      <c r="H267" s="7" t="str">
        <f t="shared" si="35"/>
        <v>China</v>
      </c>
      <c r="I267" t="s">
        <v>337</v>
      </c>
      <c r="J267" s="7" t="str">
        <f>TEXT(
  IFERROR(
    DATEVALUE(SUBSTITUTE(SUBSTITUTE(TRIM(I267),"T"," "),"Z","")),
    IFERROR(
      DATE(
        RIGHT(TRIM(I267),4),
        MID(TRIM(I267),4,2),
        LEFT(TRIM(I267),2)
      ),
      DATE(
        VALUE(RIGHT(TRIM(I267),4)),
        MATCH(LEFT(TRIM(I267),FIND(" ",TRIM(I267))-1),
          {"January","February","March","April","May","June","July","August","September","October","November","December"},0),
        VALUE(MID(TRIM(I267),
          FIND(" ",TRIM(I267))+1,
          FIND(" ",TRIM(I267),FIND(" ",TRIM(I267))+1)-FIND(" ",TRIM(I267))-1))
      )
    )
  ),
"yyyy-mm-dd")</f>
        <v>2023-10-12</v>
      </c>
      <c r="K267" s="5" t="str">
        <f t="shared" si="36"/>
        <v>Oct</v>
      </c>
      <c r="L267">
        <v>1691047864</v>
      </c>
      <c r="M267" s="11">
        <f t="shared" si="37"/>
        <v>45141.313240740739</v>
      </c>
      <c r="O267" s="7">
        <f t="shared" si="38"/>
        <v>0</v>
      </c>
      <c r="P267" t="s">
        <v>46</v>
      </c>
      <c r="Q267" s="7" t="str">
        <f t="shared" si="39"/>
        <v>Corporate account</v>
      </c>
    </row>
    <row r="268" spans="1:17">
      <c r="A268">
        <v>1939</v>
      </c>
      <c r="B268" t="s">
        <v>17</v>
      </c>
      <c r="C268" s="9" t="str">
        <f t="shared" si="32"/>
        <v>John Smith</v>
      </c>
      <c r="D268" s="7" t="str">
        <f t="shared" si="33"/>
        <v>John Smith</v>
      </c>
      <c r="E268">
        <v>55</v>
      </c>
      <c r="F268" s="7">
        <f t="shared" si="34"/>
        <v>55</v>
      </c>
      <c r="G268" t="s">
        <v>44</v>
      </c>
      <c r="H268" s="7" t="str">
        <f t="shared" si="35"/>
        <v>UAE</v>
      </c>
      <c r="I268" t="s">
        <v>338</v>
      </c>
      <c r="J268" s="7" t="str">
        <f>TEXT(
  IFERROR(
    DATEVALUE(SUBSTITUTE(SUBSTITUTE(TRIM(I268),"T"," "),"Z","")),
    IFERROR(
      DATE(
        RIGHT(TRIM(I268),4),
        MID(TRIM(I268),4,2),
        LEFT(TRIM(I268),2)
      ),
      DATE(
        VALUE(RIGHT(TRIM(I268),4)),
        MATCH(LEFT(TRIM(I268),FIND(" ",TRIM(I268))-1),
          {"January","February","March","April","May","June","July","August","September","October","November","December"},0),
        VALUE(MID(TRIM(I268),
          FIND(" ",TRIM(I268))+1,
          FIND(" ",TRIM(I268),FIND(" ",TRIM(I268))+1)-FIND(" ",TRIM(I268))-1))
      )
    )
  ),
"yyyy-mm-dd")</f>
        <v>2023-02-27</v>
      </c>
      <c r="K268" s="5" t="str">
        <f t="shared" si="36"/>
        <v>Feb</v>
      </c>
      <c r="L268">
        <v>1677545163</v>
      </c>
      <c r="M268" s="11">
        <f t="shared" si="37"/>
        <v>44985.03197916667</v>
      </c>
      <c r="N268">
        <v>230.82</v>
      </c>
      <c r="O268" s="7">
        <f t="shared" si="38"/>
        <v>230.82</v>
      </c>
      <c r="P268" t="s">
        <v>52</v>
      </c>
      <c r="Q268" s="7" t="str">
        <f t="shared" si="39"/>
        <v xml:space="preserve">Prefers email </v>
      </c>
    </row>
    <row r="269" spans="1:17">
      <c r="A269">
        <v>2153</v>
      </c>
      <c r="B269" t="s">
        <v>97</v>
      </c>
      <c r="C269" s="9" t="str">
        <f t="shared" si="32"/>
        <v>Björn Larsson</v>
      </c>
      <c r="D269" s="7" t="str">
        <f t="shared" si="33"/>
        <v xml:space="preserve"> Björn Larsson </v>
      </c>
      <c r="F269" s="7">
        <f t="shared" si="34"/>
        <v>43</v>
      </c>
      <c r="G269" t="s">
        <v>44</v>
      </c>
      <c r="H269" s="7" t="str">
        <f t="shared" si="35"/>
        <v>UAE</v>
      </c>
      <c r="I269" t="s">
        <v>339</v>
      </c>
      <c r="J269" s="7" t="str">
        <f>TEXT(
  IFERROR(
    DATEVALUE(SUBSTITUTE(SUBSTITUTE(TRIM(I269),"T"," "),"Z","")),
    IFERROR(
      DATE(
        RIGHT(TRIM(I269),4),
        MID(TRIM(I269),4,2),
        LEFT(TRIM(I269),2)
      ),
      DATE(
        VALUE(RIGHT(TRIM(I269),4)),
        MATCH(LEFT(TRIM(I269),FIND(" ",TRIM(I269))-1),
          {"January","February","March","April","May","June","July","August","September","October","November","December"},0),
        VALUE(MID(TRIM(I269),
          FIND(" ",TRIM(I269))+1,
          FIND(" ",TRIM(I269),FIND(" ",TRIM(I269))+1)-FIND(" ",TRIM(I269))-1))
      )
    )
  ),
"yyyy-mm-dd")</f>
        <v>2023-05-16</v>
      </c>
      <c r="K269" s="5" t="str">
        <f t="shared" si="36"/>
        <v>May</v>
      </c>
      <c r="L269">
        <v>1694495028</v>
      </c>
      <c r="M269" s="11">
        <f t="shared" si="37"/>
        <v>45181.210972222223</v>
      </c>
      <c r="O269" s="7">
        <f t="shared" si="38"/>
        <v>0</v>
      </c>
      <c r="P269" t="s">
        <v>20</v>
      </c>
      <c r="Q269" s="7" t="str">
        <f t="shared" si="39"/>
        <v xml:space="preserve">Great customer </v>
      </c>
    </row>
    <row r="270" spans="1:17">
      <c r="A270">
        <v>1353</v>
      </c>
      <c r="B270" t="s">
        <v>37</v>
      </c>
      <c r="C270" s="9" t="str">
        <f t="shared" si="32"/>
        <v>Akira Tanaka</v>
      </c>
      <c r="D270" s="7" t="str">
        <f t="shared" si="33"/>
        <v>Akira Tanaka</v>
      </c>
      <c r="E270">
        <v>56</v>
      </c>
      <c r="F270" s="7">
        <f t="shared" si="34"/>
        <v>56</v>
      </c>
      <c r="G270" t="s">
        <v>116</v>
      </c>
      <c r="H270" s="7" t="str">
        <f t="shared" si="35"/>
        <v>China</v>
      </c>
      <c r="I270" t="s">
        <v>340</v>
      </c>
      <c r="J270" s="7" t="str">
        <f>TEXT(
  IFERROR(
    DATEVALUE(SUBSTITUTE(SUBSTITUTE(TRIM(I270),"T"," "),"Z","")),
    IFERROR(
      DATE(
        RIGHT(TRIM(I270),4),
        MID(TRIM(I270),4,2),
        LEFT(TRIM(I270),2)
      ),
      DATE(
        VALUE(RIGHT(TRIM(I270),4)),
        MATCH(LEFT(TRIM(I270),FIND(" ",TRIM(I270))-1),
          {"January","February","March","April","May","June","July","August","September","October","November","December"},0),
        VALUE(MID(TRIM(I270),
          FIND(" ",TRIM(I270))+1,
          FIND(" ",TRIM(I270),FIND(" ",TRIM(I270))+1)-FIND(" ",TRIM(I270))-1))
      )
    )
  ),
"yyyy-mm-dd")</f>
        <v>2023-01-20</v>
      </c>
      <c r="K270" s="5" t="str">
        <f t="shared" si="36"/>
        <v>Jan</v>
      </c>
      <c r="L270">
        <v>1702373157</v>
      </c>
      <c r="M270" s="11">
        <f t="shared" si="37"/>
        <v>45272.393020833333</v>
      </c>
      <c r="N270">
        <v>1319.65</v>
      </c>
      <c r="O270" s="7">
        <f t="shared" si="38"/>
        <v>1319.65</v>
      </c>
      <c r="P270" t="s">
        <v>20</v>
      </c>
      <c r="Q270" s="7" t="str">
        <f t="shared" si="39"/>
        <v xml:space="preserve">Great customer </v>
      </c>
    </row>
    <row r="271" spans="1:17">
      <c r="A271">
        <v>1974</v>
      </c>
      <c r="B271" t="s">
        <v>37</v>
      </c>
      <c r="C271" s="9" t="str">
        <f t="shared" si="32"/>
        <v>Akira Tanaka</v>
      </c>
      <c r="D271" s="7" t="str">
        <f t="shared" si="33"/>
        <v>Akira Tanaka</v>
      </c>
      <c r="F271" s="7">
        <f t="shared" si="34"/>
        <v>43</v>
      </c>
      <c r="G271" t="s">
        <v>102</v>
      </c>
      <c r="H271" s="7" t="str">
        <f t="shared" si="35"/>
        <v>Mexico</v>
      </c>
      <c r="I271" t="s">
        <v>341</v>
      </c>
      <c r="J271" s="7" t="str">
        <f>TEXT(
  IFERROR(
    DATEVALUE(SUBSTITUTE(SUBSTITUTE(TRIM(I271),"T"," "),"Z","")),
    IFERROR(
      DATE(
        RIGHT(TRIM(I271),4),
        MID(TRIM(I271),4,2),
        LEFT(TRIM(I271),2)
      ),
      DATE(
        VALUE(RIGHT(TRIM(I271),4)),
        MATCH(LEFT(TRIM(I271),FIND(" ",TRIM(I271))-1),
          {"January","February","March","April","May","June","July","August","September","October","November","December"},0),
        VALUE(MID(TRIM(I271),
          FIND(" ",TRIM(I271))+1,
          FIND(" ",TRIM(I271),FIND(" ",TRIM(I271))+1)-FIND(" ",TRIM(I271))-1))
      )
    )
  ),
"yyyy-mm-dd")</f>
        <v>2023-05-24</v>
      </c>
      <c r="K271" s="5" t="str">
        <f t="shared" si="36"/>
        <v>May</v>
      </c>
      <c r="L271">
        <v>1701321580</v>
      </c>
      <c r="M271" s="11">
        <f t="shared" si="37"/>
        <v>45260.221990740742</v>
      </c>
      <c r="N271">
        <v>1047.31</v>
      </c>
      <c r="O271" s="7">
        <f t="shared" si="38"/>
        <v>1047.31</v>
      </c>
      <c r="P271" t="s">
        <v>40</v>
      </c>
      <c r="Q271" s="7" t="str">
        <f t="shared" si="39"/>
        <v xml:space="preserve">VIP client </v>
      </c>
    </row>
    <row r="272" spans="1:17">
      <c r="A272">
        <v>2058</v>
      </c>
      <c r="B272" t="s">
        <v>90</v>
      </c>
      <c r="C272" s="9" t="str">
        <f t="shared" si="32"/>
        <v>Olivia Wilson</v>
      </c>
      <c r="D272" s="7" t="str">
        <f t="shared" si="33"/>
        <v>Olivia Wilson</v>
      </c>
      <c r="E272">
        <v>50</v>
      </c>
      <c r="F272" s="7">
        <f t="shared" si="34"/>
        <v>50</v>
      </c>
      <c r="G272" t="s">
        <v>102</v>
      </c>
      <c r="H272" s="7" t="str">
        <f t="shared" si="35"/>
        <v>Mexico</v>
      </c>
      <c r="I272" t="s">
        <v>342</v>
      </c>
      <c r="J272" s="7" t="str">
        <f>TEXT(
  IFERROR(
    DATEVALUE(SUBSTITUTE(SUBSTITUTE(TRIM(I272),"T"," "),"Z","")),
    IFERROR(
      DATE(
        RIGHT(TRIM(I272),4),
        MID(TRIM(I272),4,2),
        LEFT(TRIM(I272),2)
      ),
      DATE(
        VALUE(RIGHT(TRIM(I272),4)),
        MATCH(LEFT(TRIM(I272),FIND(" ",TRIM(I272))-1),
          {"January","February","March","April","May","June","July","August","September","October","November","December"},0),
        VALUE(MID(TRIM(I272),
          FIND(" ",TRIM(I272))+1,
          FIND(" ",TRIM(I272),FIND(" ",TRIM(I272))+1)-FIND(" ",TRIM(I272))-1))
      )
    )
  ),
"yyyy-mm-dd")</f>
        <v>2023-12-30</v>
      </c>
      <c r="K272" s="5" t="str">
        <f t="shared" si="36"/>
        <v>Dec</v>
      </c>
      <c r="L272">
        <v>1686059359</v>
      </c>
      <c r="M272" s="11">
        <f t="shared" si="37"/>
        <v>45083.575914351852</v>
      </c>
      <c r="N272">
        <v>212.12</v>
      </c>
      <c r="O272" s="7">
        <f t="shared" si="38"/>
        <v>212.12</v>
      </c>
      <c r="P272" t="s">
        <v>33</v>
      </c>
      <c r="Q272" s="7" t="str">
        <f t="shared" si="39"/>
        <v>Frequent buyer n</v>
      </c>
    </row>
    <row r="273" spans="1:17">
      <c r="A273">
        <v>1395</v>
      </c>
      <c r="B273" t="s">
        <v>104</v>
      </c>
      <c r="C273" s="9" t="str">
        <f t="shared" si="32"/>
        <v>David Brown</v>
      </c>
      <c r="D273" s="7" t="str">
        <f t="shared" si="33"/>
        <v>David Brown</v>
      </c>
      <c r="F273" s="7">
        <f t="shared" si="34"/>
        <v>43</v>
      </c>
      <c r="G273" t="s">
        <v>29</v>
      </c>
      <c r="H273" s="7" t="str">
        <f t="shared" si="35"/>
        <v>United States</v>
      </c>
      <c r="I273" t="s">
        <v>343</v>
      </c>
      <c r="J273" s="7" t="str">
        <f>TEXT(
  IFERROR(
    DATEVALUE(SUBSTITUTE(SUBSTITUTE(TRIM(I273),"T"," "),"Z","")),
    IFERROR(
      DATE(
        RIGHT(TRIM(I273),4),
        MID(TRIM(I273),4,2),
        LEFT(TRIM(I273),2)
      ),
      DATE(
        VALUE(RIGHT(TRIM(I273),4)),
        MATCH(LEFT(TRIM(I273),FIND(" ",TRIM(I273))-1),
          {"January","February","March","April","May","June","July","August","September","October","November","December"},0),
        VALUE(MID(TRIM(I273),
          FIND(" ",TRIM(I273))+1,
          FIND(" ",TRIM(I273),FIND(" ",TRIM(I273))+1)-FIND(" ",TRIM(I273))-1))
      )
    )
  ),
"yyyy-mm-dd")</f>
        <v>2023-07-04</v>
      </c>
      <c r="K273" s="5" t="str">
        <f t="shared" si="36"/>
        <v>Jul</v>
      </c>
      <c r="L273">
        <v>1681717159</v>
      </c>
      <c r="M273" s="11">
        <f t="shared" si="37"/>
        <v>45033.318969907406</v>
      </c>
      <c r="O273" s="7">
        <f t="shared" si="38"/>
        <v>0</v>
      </c>
      <c r="P273" t="s">
        <v>46</v>
      </c>
      <c r="Q273" s="7" t="str">
        <f t="shared" si="39"/>
        <v>Corporate account</v>
      </c>
    </row>
    <row r="274" spans="1:17">
      <c r="A274">
        <v>1813</v>
      </c>
      <c r="B274" t="s">
        <v>185</v>
      </c>
      <c r="C274" s="9" t="str">
        <f t="shared" si="32"/>
        <v>Liam O’Connor</v>
      </c>
      <c r="D274" s="7" t="str">
        <f t="shared" si="33"/>
        <v>Liam O’Connor</v>
      </c>
      <c r="E274">
        <v>61</v>
      </c>
      <c r="F274" s="7">
        <f t="shared" si="34"/>
        <v>61</v>
      </c>
      <c r="G274" t="s">
        <v>122</v>
      </c>
      <c r="H274" s="7" t="str">
        <f t="shared" si="35"/>
        <v>Italy</v>
      </c>
      <c r="I274" t="s">
        <v>133</v>
      </c>
      <c r="J274" s="7" t="str">
        <f>TEXT(
  IFERROR(
    DATEVALUE(SUBSTITUTE(SUBSTITUTE(TRIM(I274),"T"," "),"Z","")),
    IFERROR(
      DATE(
        RIGHT(TRIM(I274),4),
        MID(TRIM(I274),4,2),
        LEFT(TRIM(I274),2)
      ),
      DATE(
        VALUE(RIGHT(TRIM(I274),4)),
        MATCH(LEFT(TRIM(I274),FIND(" ",TRIM(I274))-1),
          {"January","February","March","April","May","June","July","August","September","October","November","December"},0),
        VALUE(MID(TRIM(I274),
          FIND(" ",TRIM(I274))+1,
          FIND(" ",TRIM(I274),FIND(" ",TRIM(I274))+1)-FIND(" ",TRIM(I274))-1))
      )
    )
  ),
"yyyy-mm-dd")</f>
        <v>2023-09-08</v>
      </c>
      <c r="K274" s="5" t="str">
        <f t="shared" si="36"/>
        <v>Sep</v>
      </c>
      <c r="L274">
        <v>1687492747</v>
      </c>
      <c r="M274" s="11">
        <f t="shared" si="37"/>
        <v>45100.16605324074</v>
      </c>
      <c r="O274" s="7">
        <f t="shared" si="38"/>
        <v>0</v>
      </c>
      <c r="P274" t="s">
        <v>27</v>
      </c>
      <c r="Q274" s="7" t="str">
        <f t="shared" si="39"/>
        <v xml:space="preserve">Holiday signup </v>
      </c>
    </row>
    <row r="275" spans="1:17">
      <c r="A275">
        <v>2130</v>
      </c>
      <c r="B275" t="s">
        <v>90</v>
      </c>
      <c r="C275" s="9" t="str">
        <f t="shared" si="32"/>
        <v>Olivia Wilson</v>
      </c>
      <c r="D275" s="7" t="str">
        <f t="shared" si="33"/>
        <v>Olivia Wilson</v>
      </c>
      <c r="E275">
        <v>65</v>
      </c>
      <c r="F275" s="7">
        <f t="shared" si="34"/>
        <v>65</v>
      </c>
      <c r="G275" t="s">
        <v>29</v>
      </c>
      <c r="H275" s="7" t="str">
        <f t="shared" si="35"/>
        <v>United States</v>
      </c>
      <c r="I275" t="s">
        <v>344</v>
      </c>
      <c r="J275" s="7" t="str">
        <f>TEXT(
  IFERROR(
    DATEVALUE(SUBSTITUTE(SUBSTITUTE(TRIM(I275),"T"," "),"Z","")),
    IFERROR(
      DATE(
        RIGHT(TRIM(I275),4),
        MID(TRIM(I275),4,2),
        LEFT(TRIM(I275),2)
      ),
      DATE(
        VALUE(RIGHT(TRIM(I275),4)),
        MATCH(LEFT(TRIM(I275),FIND(" ",TRIM(I275))-1),
          {"January","February","March","April","May","June","July","August","September","October","November","December"},0),
        VALUE(MID(TRIM(I275),
          FIND(" ",TRIM(I275))+1,
          FIND(" ",TRIM(I275),FIND(" ",TRIM(I275))+1)-FIND(" ",TRIM(I275))-1))
      )
    )
  ),
"yyyy-mm-dd")</f>
        <v>2023-05-26</v>
      </c>
      <c r="K275" s="5" t="str">
        <f t="shared" si="36"/>
        <v>May</v>
      </c>
      <c r="L275">
        <v>1685494991</v>
      </c>
      <c r="M275" s="11">
        <f t="shared" si="37"/>
        <v>45077.04387731482</v>
      </c>
      <c r="N275">
        <v>83.98</v>
      </c>
      <c r="O275" s="7">
        <f t="shared" si="38"/>
        <v>83.98</v>
      </c>
      <c r="P275" t="s">
        <v>40</v>
      </c>
      <c r="Q275" s="7" t="str">
        <f t="shared" si="39"/>
        <v xml:space="preserve">VIP client </v>
      </c>
    </row>
    <row r="276" spans="1:17">
      <c r="A276">
        <v>1462</v>
      </c>
      <c r="B276" t="s">
        <v>92</v>
      </c>
      <c r="C276" s="9" t="str">
        <f t="shared" si="32"/>
        <v>Zoë Kravitz</v>
      </c>
      <c r="D276" s="7" t="str">
        <f t="shared" si="33"/>
        <v xml:space="preserve"> Zoë Kravitz </v>
      </c>
      <c r="E276">
        <v>44</v>
      </c>
      <c r="F276" s="7">
        <f t="shared" si="34"/>
        <v>44</v>
      </c>
      <c r="G276" t="s">
        <v>29</v>
      </c>
      <c r="H276" s="7" t="str">
        <f t="shared" si="35"/>
        <v>United States</v>
      </c>
      <c r="I276" t="s">
        <v>345</v>
      </c>
      <c r="J276" s="7" t="str">
        <f>TEXT(
  IFERROR(
    DATEVALUE(SUBSTITUTE(SUBSTITUTE(TRIM(I276),"T"," "),"Z","")),
    IFERROR(
      DATE(
        RIGHT(TRIM(I276),4),
        MID(TRIM(I276),4,2),
        LEFT(TRIM(I276),2)
      ),
      DATE(
        VALUE(RIGHT(TRIM(I276),4)),
        MATCH(LEFT(TRIM(I276),FIND(" ",TRIM(I276))-1),
          {"January","February","March","April","May","June","July","August","September","October","November","December"},0),
        VALUE(MID(TRIM(I276),
          FIND(" ",TRIM(I276))+1,
          FIND(" ",TRIM(I276),FIND(" ",TRIM(I276))+1)-FIND(" ",TRIM(I276))-1))
      )
    )
  ),
"yyyy-mm-dd")</f>
        <v>2023-12-16</v>
      </c>
      <c r="K276" s="5" t="str">
        <f t="shared" si="36"/>
        <v>Dec</v>
      </c>
      <c r="L276">
        <v>1688432062</v>
      </c>
      <c r="M276" s="11">
        <f t="shared" si="37"/>
        <v>45111.037754629629</v>
      </c>
      <c r="N276">
        <v>1368.16</v>
      </c>
      <c r="O276" s="7">
        <f t="shared" si="38"/>
        <v>1368.16</v>
      </c>
      <c r="P276" t="s">
        <v>27</v>
      </c>
      <c r="Q276" s="7" t="str">
        <f t="shared" si="39"/>
        <v xml:space="preserve">Holiday signup </v>
      </c>
    </row>
    <row r="277" spans="1:17">
      <c r="A277">
        <v>1018</v>
      </c>
      <c r="B277" t="s">
        <v>66</v>
      </c>
      <c r="C277" s="9" t="str">
        <f t="shared" si="32"/>
        <v>Emily Davis</v>
      </c>
      <c r="D277" s="7" t="str">
        <f t="shared" si="33"/>
        <v xml:space="preserve"> Emily Davis </v>
      </c>
      <c r="E277">
        <v>63</v>
      </c>
      <c r="F277" s="7">
        <f t="shared" si="34"/>
        <v>63</v>
      </c>
      <c r="G277" t="s">
        <v>54</v>
      </c>
      <c r="H277" s="7" t="str">
        <f t="shared" si="35"/>
        <v>Brazil</v>
      </c>
      <c r="I277" t="s">
        <v>346</v>
      </c>
      <c r="J277" s="7" t="str">
        <f>TEXT(
  IFERROR(
    DATEVALUE(SUBSTITUTE(SUBSTITUTE(TRIM(I277),"T"," "),"Z","")),
    IFERROR(
      DATE(
        RIGHT(TRIM(I277),4),
        MID(TRIM(I277),4,2),
        LEFT(TRIM(I277),2)
      ),
      DATE(
        VALUE(RIGHT(TRIM(I277),4)),
        MATCH(LEFT(TRIM(I277),FIND(" ",TRIM(I277))-1),
          {"January","February","March","April","May","June","July","August","September","October","November","December"},0),
        VALUE(MID(TRIM(I277),
          FIND(" ",TRIM(I277))+1,
          FIND(" ",TRIM(I277),FIND(" ",TRIM(I277))+1)-FIND(" ",TRIM(I277))-1))
      )
    )
  ),
"yyyy-mm-dd")</f>
        <v>2023-08-05</v>
      </c>
      <c r="K277" s="5" t="str">
        <f t="shared" si="36"/>
        <v>Aug</v>
      </c>
      <c r="L277">
        <v>1701098490</v>
      </c>
      <c r="M277" s="11">
        <f t="shared" si="37"/>
        <v>45257.639930555553</v>
      </c>
      <c r="O277" s="7">
        <f t="shared" si="38"/>
        <v>0</v>
      </c>
      <c r="P277" t="s">
        <v>40</v>
      </c>
      <c r="Q277" s="7" t="str">
        <f t="shared" si="39"/>
        <v xml:space="preserve">VIP client </v>
      </c>
    </row>
    <row r="278" spans="1:17">
      <c r="A278">
        <v>1579</v>
      </c>
      <c r="B278" t="s">
        <v>107</v>
      </c>
      <c r="C278" s="9" t="str">
        <f t="shared" si="32"/>
        <v>Fatima Ali</v>
      </c>
      <c r="D278" s="7" t="str">
        <f t="shared" si="33"/>
        <v>Fatima Ali</v>
      </c>
      <c r="F278" s="7">
        <f t="shared" si="34"/>
        <v>43</v>
      </c>
      <c r="G278" t="s">
        <v>54</v>
      </c>
      <c r="H278" s="7" t="str">
        <f t="shared" si="35"/>
        <v>Brazil</v>
      </c>
      <c r="I278" t="s">
        <v>257</v>
      </c>
      <c r="J278" s="7" t="str">
        <f>TEXT(
  IFERROR(
    DATEVALUE(SUBSTITUTE(SUBSTITUTE(TRIM(I278),"T"," "),"Z","")),
    IFERROR(
      DATE(
        RIGHT(TRIM(I278),4),
        MID(TRIM(I278),4,2),
        LEFT(TRIM(I278),2)
      ),
      DATE(
        VALUE(RIGHT(TRIM(I278),4)),
        MATCH(LEFT(TRIM(I278),FIND(" ",TRIM(I278))-1),
          {"January","February","March","April","May","June","July","August","September","October","November","December"},0),
        VALUE(MID(TRIM(I278),
          FIND(" ",TRIM(I278))+1,
          FIND(" ",TRIM(I278),FIND(" ",TRIM(I278))+1)-FIND(" ",TRIM(I278))-1))
      )
    )
  ),
"yyyy-mm-dd")</f>
        <v>2023-11-24</v>
      </c>
      <c r="K278" s="5" t="str">
        <f t="shared" si="36"/>
        <v>Nov</v>
      </c>
      <c r="L278">
        <v>1701430861</v>
      </c>
      <c r="M278" s="11">
        <f t="shared" si="37"/>
        <v>45261.486817129626</v>
      </c>
      <c r="O278" s="7">
        <f t="shared" si="38"/>
        <v>0</v>
      </c>
      <c r="P278" t="s">
        <v>40</v>
      </c>
      <c r="Q278" s="7" t="str">
        <f t="shared" si="39"/>
        <v xml:space="preserve">VIP client </v>
      </c>
    </row>
    <row r="279" spans="1:17">
      <c r="A279">
        <v>1308</v>
      </c>
      <c r="B279" t="s">
        <v>80</v>
      </c>
      <c r="C279" s="9" t="str">
        <f t="shared" si="32"/>
        <v>Ahmed Hassan</v>
      </c>
      <c r="D279" s="7" t="str">
        <f t="shared" si="33"/>
        <v>Ahmed Hassan</v>
      </c>
      <c r="F279" s="7">
        <f t="shared" si="34"/>
        <v>43</v>
      </c>
      <c r="G279" t="s">
        <v>25</v>
      </c>
      <c r="H279" s="7" t="str">
        <f t="shared" si="35"/>
        <v>Japan</v>
      </c>
      <c r="I279" t="s">
        <v>347</v>
      </c>
      <c r="J279" s="7" t="str">
        <f>TEXT(
  IFERROR(
    DATEVALUE(SUBSTITUTE(SUBSTITUTE(TRIM(I279),"T"," "),"Z","")),
    IFERROR(
      DATE(
        RIGHT(TRIM(I279),4),
        MID(TRIM(I279),4,2),
        LEFT(TRIM(I279),2)
      ),
      DATE(
        VALUE(RIGHT(TRIM(I279),4)),
        MATCH(LEFT(TRIM(I279),FIND(" ",TRIM(I279))-1),
          {"January","February","March","April","May","June","July","August","September","October","November","December"},0),
        VALUE(MID(TRIM(I279),
          FIND(" ",TRIM(I279))+1,
          FIND(" ",TRIM(I279),FIND(" ",TRIM(I279))+1)-FIND(" ",TRIM(I279))-1))
      )
    )
  ),
"yyyy-mm-dd")</f>
        <v>2023-12-15</v>
      </c>
      <c r="K279" s="5" t="str">
        <f t="shared" si="36"/>
        <v>Dec</v>
      </c>
      <c r="L279">
        <v>1696726248</v>
      </c>
      <c r="M279" s="11">
        <f t="shared" si="37"/>
        <v>45207.035277777773</v>
      </c>
      <c r="O279" s="7">
        <f t="shared" si="38"/>
        <v>0</v>
      </c>
      <c r="P279" t="s">
        <v>58</v>
      </c>
      <c r="Q279" s="7" t="str">
        <f t="shared" si="39"/>
        <v>Student account</v>
      </c>
    </row>
    <row r="280" spans="1:17">
      <c r="A280">
        <v>1532</v>
      </c>
      <c r="B280" t="s">
        <v>74</v>
      </c>
      <c r="C280" s="9" t="str">
        <f t="shared" si="32"/>
        <v>Sofia Rossi</v>
      </c>
      <c r="D280" s="7" t="str">
        <f t="shared" si="33"/>
        <v>Sofia Rossi</v>
      </c>
      <c r="E280">
        <v>20</v>
      </c>
      <c r="F280" s="7">
        <f t="shared" si="34"/>
        <v>20</v>
      </c>
      <c r="G280" t="s">
        <v>22</v>
      </c>
      <c r="H280" s="7" t="str">
        <f t="shared" si="35"/>
        <v>Germany</v>
      </c>
      <c r="I280" t="s">
        <v>348</v>
      </c>
      <c r="J280" s="7" t="str">
        <f>TEXT(
  IFERROR(
    DATEVALUE(SUBSTITUTE(SUBSTITUTE(TRIM(I280),"T"," "),"Z","")),
    IFERROR(
      DATE(
        RIGHT(TRIM(I280),4),
        MID(TRIM(I280),4,2),
        LEFT(TRIM(I280),2)
      ),
      DATE(
        VALUE(RIGHT(TRIM(I280),4)),
        MATCH(LEFT(TRIM(I280),FIND(" ",TRIM(I280))-1),
          {"January","February","March","April","May","June","July","August","September","October","November","December"},0),
        VALUE(MID(TRIM(I280),
          FIND(" ",TRIM(I280))+1,
          FIND(" ",TRIM(I280),FIND(" ",TRIM(I280))+1)-FIND(" ",TRIM(I280))-1))
      )
    )
  ),
"yyyy-mm-dd")</f>
        <v>2023-06-25</v>
      </c>
      <c r="K280" s="5" t="str">
        <f t="shared" si="36"/>
        <v>Jun</v>
      </c>
      <c r="L280">
        <v>1695553014</v>
      </c>
      <c r="M280" s="11">
        <f t="shared" si="37"/>
        <v>45193.456180555557</v>
      </c>
      <c r="O280" s="7">
        <f t="shared" si="38"/>
        <v>0</v>
      </c>
      <c r="P280" t="s">
        <v>84</v>
      </c>
      <c r="Q280" s="7" t="str">
        <f t="shared" si="39"/>
        <v xml:space="preserve">Newsletter subscriber </v>
      </c>
    </row>
    <row r="281" spans="1:17">
      <c r="A281">
        <v>2039</v>
      </c>
      <c r="B281" t="s">
        <v>107</v>
      </c>
      <c r="C281" s="9" t="str">
        <f t="shared" si="32"/>
        <v>Fatima Ali</v>
      </c>
      <c r="D281" s="7" t="str">
        <f t="shared" si="33"/>
        <v>Fatima Ali</v>
      </c>
      <c r="E281">
        <v>60</v>
      </c>
      <c r="F281" s="7">
        <f t="shared" si="34"/>
        <v>60</v>
      </c>
      <c r="G281" t="s">
        <v>102</v>
      </c>
      <c r="H281" s="7" t="str">
        <f t="shared" si="35"/>
        <v>Mexico</v>
      </c>
      <c r="I281" t="s">
        <v>70</v>
      </c>
      <c r="J281" s="7" t="str">
        <f>TEXT(
  IFERROR(
    DATEVALUE(SUBSTITUTE(SUBSTITUTE(TRIM(I281),"T"," "),"Z","")),
    IFERROR(
      DATE(
        RIGHT(TRIM(I281),4),
        MID(TRIM(I281),4,2),
        LEFT(TRIM(I281),2)
      ),
      DATE(
        VALUE(RIGHT(TRIM(I281),4)),
        MATCH(LEFT(TRIM(I281),FIND(" ",TRIM(I281))-1),
          {"January","February","March","April","May","June","July","August","September","October","November","December"},0),
        VALUE(MID(TRIM(I281),
          FIND(" ",TRIM(I281))+1,
          FIND(" ",TRIM(I281),FIND(" ",TRIM(I281))+1)-FIND(" ",TRIM(I281))-1))
      )
    )
  ),
"yyyy-mm-dd")</f>
        <v>2023-02-19</v>
      </c>
      <c r="K281" s="5" t="str">
        <f t="shared" si="36"/>
        <v>Feb</v>
      </c>
      <c r="L281">
        <v>1676817092</v>
      </c>
      <c r="M281" s="11">
        <f t="shared" si="37"/>
        <v>44976.605231481481</v>
      </c>
      <c r="N281">
        <v>1113.97</v>
      </c>
      <c r="O281" s="7">
        <f t="shared" si="38"/>
        <v>1113.97</v>
      </c>
      <c r="P281" t="s">
        <v>84</v>
      </c>
      <c r="Q281" s="7" t="str">
        <f t="shared" si="39"/>
        <v xml:space="preserve">Newsletter subscriber </v>
      </c>
    </row>
    <row r="282" spans="1:17">
      <c r="A282">
        <v>1183</v>
      </c>
      <c r="B282" t="s">
        <v>72</v>
      </c>
      <c r="C282" s="9" t="str">
        <f t="shared" si="32"/>
        <v>Emily Davis</v>
      </c>
      <c r="D282" s="7" t="str">
        <f t="shared" si="33"/>
        <v>Emily Davis</v>
      </c>
      <c r="F282" s="7">
        <f t="shared" si="34"/>
        <v>43</v>
      </c>
      <c r="G282" t="s">
        <v>25</v>
      </c>
      <c r="H282" s="7" t="str">
        <f t="shared" si="35"/>
        <v>Japan</v>
      </c>
      <c r="I282" t="s">
        <v>349</v>
      </c>
      <c r="J282" s="7" t="str">
        <f>TEXT(
  IFERROR(
    DATEVALUE(SUBSTITUTE(SUBSTITUTE(TRIM(I282),"T"," "),"Z","")),
    IFERROR(
      DATE(
        RIGHT(TRIM(I282),4),
        MID(TRIM(I282),4,2),
        LEFT(TRIM(I282),2)
      ),
      DATE(
        VALUE(RIGHT(TRIM(I282),4)),
        MATCH(LEFT(TRIM(I282),FIND(" ",TRIM(I282))-1),
          {"January","February","March","April","May","June","July","August","September","October","November","December"},0),
        VALUE(MID(TRIM(I282),
          FIND(" ",TRIM(I282))+1,
          FIND(" ",TRIM(I282),FIND(" ",TRIM(I282))+1)-FIND(" ",TRIM(I282))-1))
      )
    )
  ),
"yyyy-mm-dd")</f>
        <v>2023-10-07</v>
      </c>
      <c r="K282" s="5" t="str">
        <f t="shared" si="36"/>
        <v>Oct</v>
      </c>
      <c r="L282">
        <v>1692172492</v>
      </c>
      <c r="M282" s="11">
        <f t="shared" si="37"/>
        <v>45154.329768518517</v>
      </c>
      <c r="N282">
        <v>448.14</v>
      </c>
      <c r="O282" s="7">
        <f t="shared" si="38"/>
        <v>448.14</v>
      </c>
      <c r="P282" t="s">
        <v>36</v>
      </c>
      <c r="Q282" s="7" t="str">
        <f t="shared" si="39"/>
        <v>Regular shopper</v>
      </c>
    </row>
    <row r="283" spans="1:17">
      <c r="A283">
        <v>1111</v>
      </c>
      <c r="B283" t="s">
        <v>43</v>
      </c>
      <c r="C283" s="9" t="str">
        <f t="shared" si="32"/>
        <v>Carlos García</v>
      </c>
      <c r="D283" s="7" t="str">
        <f t="shared" si="33"/>
        <v xml:space="preserve"> Carlos García </v>
      </c>
      <c r="F283" s="7">
        <f t="shared" si="34"/>
        <v>43</v>
      </c>
      <c r="G283" t="s">
        <v>111</v>
      </c>
      <c r="H283" s="7" t="str">
        <f t="shared" si="35"/>
        <v>South Korea</v>
      </c>
      <c r="I283" t="s">
        <v>350</v>
      </c>
      <c r="J283" s="7" t="str">
        <f>TEXT(
  IFERROR(
    DATEVALUE(SUBSTITUTE(SUBSTITUTE(TRIM(I283),"T"," "),"Z","")),
    IFERROR(
      DATE(
        RIGHT(TRIM(I283),4),
        MID(TRIM(I283),4,2),
        LEFT(TRIM(I283),2)
      ),
      DATE(
        VALUE(RIGHT(TRIM(I283),4)),
        MATCH(LEFT(TRIM(I283),FIND(" ",TRIM(I283))-1),
          {"January","February","March","April","May","June","July","August","September","October","November","December"},0),
        VALUE(MID(TRIM(I283),
          FIND(" ",TRIM(I283))+1,
          FIND(" ",TRIM(I283),FIND(" ",TRIM(I283))+1)-FIND(" ",TRIM(I283))-1))
      )
    )
  ),
"yyyy-mm-dd")</f>
        <v>2023-03-15</v>
      </c>
      <c r="K283" s="5" t="str">
        <f t="shared" si="36"/>
        <v>Mar</v>
      </c>
      <c r="L283">
        <v>1701461138</v>
      </c>
      <c r="M283" s="11">
        <f t="shared" si="37"/>
        <v>45261.837245370371</v>
      </c>
      <c r="N283">
        <v>1076.3499999999999</v>
      </c>
      <c r="O283" s="7">
        <f t="shared" si="38"/>
        <v>1076.3499999999999</v>
      </c>
      <c r="P283" t="s">
        <v>36</v>
      </c>
      <c r="Q283" s="7" t="str">
        <f t="shared" si="39"/>
        <v>Regular shopper</v>
      </c>
    </row>
    <row r="284" spans="1:17">
      <c r="A284">
        <v>1682</v>
      </c>
      <c r="B284" t="s">
        <v>185</v>
      </c>
      <c r="C284" s="9" t="str">
        <f t="shared" si="32"/>
        <v>Liam O’Connor</v>
      </c>
      <c r="D284" s="7" t="str">
        <f t="shared" si="33"/>
        <v>Liam O’Connor</v>
      </c>
      <c r="E284">
        <v>38</v>
      </c>
      <c r="F284" s="7">
        <f t="shared" si="34"/>
        <v>38</v>
      </c>
      <c r="G284" t="s">
        <v>29</v>
      </c>
      <c r="H284" s="7" t="str">
        <f t="shared" si="35"/>
        <v>United States</v>
      </c>
      <c r="I284" t="s">
        <v>351</v>
      </c>
      <c r="J284" s="7" t="str">
        <f>TEXT(
  IFERROR(
    DATEVALUE(SUBSTITUTE(SUBSTITUTE(TRIM(I284),"T"," "),"Z","")),
    IFERROR(
      DATE(
        RIGHT(TRIM(I284),4),
        MID(TRIM(I284),4,2),
        LEFT(TRIM(I284),2)
      ),
      DATE(
        VALUE(RIGHT(TRIM(I284),4)),
        MATCH(LEFT(TRIM(I284),FIND(" ",TRIM(I284))-1),
          {"January","February","March","April","May","June","July","August","September","October","November","December"},0),
        VALUE(MID(TRIM(I284),
          FIND(" ",TRIM(I284))+1,
          FIND(" ",TRIM(I284),FIND(" ",TRIM(I284))+1)-FIND(" ",TRIM(I284))-1))
      )
    )
  ),
"yyyy-mm-dd")</f>
        <v>2023-08-20</v>
      </c>
      <c r="K284" s="5" t="str">
        <f t="shared" si="36"/>
        <v>Aug</v>
      </c>
      <c r="L284">
        <v>1679549706</v>
      </c>
      <c r="M284" s="11">
        <f t="shared" si="37"/>
        <v>45008.232708333337</v>
      </c>
      <c r="N284">
        <v>1144.18</v>
      </c>
      <c r="O284" s="7">
        <f t="shared" si="38"/>
        <v>1144.18</v>
      </c>
      <c r="P284" t="s">
        <v>27</v>
      </c>
      <c r="Q284" s="7" t="str">
        <f t="shared" si="39"/>
        <v xml:space="preserve">Holiday signup </v>
      </c>
    </row>
    <row r="285" spans="1:17">
      <c r="A285">
        <v>1325</v>
      </c>
      <c r="B285" t="s">
        <v>131</v>
      </c>
      <c r="C285" s="9" t="str">
        <f t="shared" si="32"/>
        <v>Isabella Martinez</v>
      </c>
      <c r="D285" s="7" t="str">
        <f t="shared" si="33"/>
        <v>Isabella Martinez</v>
      </c>
      <c r="E285">
        <v>26</v>
      </c>
      <c r="F285" s="7">
        <f t="shared" si="34"/>
        <v>26</v>
      </c>
      <c r="G285" t="s">
        <v>44</v>
      </c>
      <c r="H285" s="7" t="str">
        <f t="shared" si="35"/>
        <v>UAE</v>
      </c>
      <c r="I285" t="s">
        <v>352</v>
      </c>
      <c r="J285" s="7" t="str">
        <f>TEXT(
  IFERROR(
    DATEVALUE(SUBSTITUTE(SUBSTITUTE(TRIM(I285),"T"," "),"Z","")),
    IFERROR(
      DATE(
        RIGHT(TRIM(I285),4),
        MID(TRIM(I285),4,2),
        LEFT(TRIM(I285),2)
      ),
      DATE(
        VALUE(RIGHT(TRIM(I285),4)),
        MATCH(LEFT(TRIM(I285),FIND(" ",TRIM(I285))-1),
          {"January","February","March","April","May","June","July","August","September","October","November","December"},0),
        VALUE(MID(TRIM(I285),
          FIND(" ",TRIM(I285))+1,
          FIND(" ",TRIM(I285),FIND(" ",TRIM(I285))+1)-FIND(" ",TRIM(I285))-1))
      )
    )
  ),
"yyyy-mm-dd")</f>
        <v>2023-11-21</v>
      </c>
      <c r="K285" s="5" t="str">
        <f t="shared" si="36"/>
        <v>Nov</v>
      </c>
      <c r="L285">
        <v>1686059639</v>
      </c>
      <c r="M285" s="11">
        <f t="shared" si="37"/>
        <v>45083.579155092593</v>
      </c>
      <c r="O285" s="7">
        <f t="shared" si="38"/>
        <v>0</v>
      </c>
      <c r="P285" t="s">
        <v>118</v>
      </c>
      <c r="Q285" s="7" t="str">
        <f t="shared" si="39"/>
        <v>High engagement</v>
      </c>
    </row>
    <row r="286" spans="1:17">
      <c r="A286">
        <v>1010</v>
      </c>
      <c r="B286" t="s">
        <v>28</v>
      </c>
      <c r="C286" s="9" t="str">
        <f t="shared" si="32"/>
        <v>Maria Lopez</v>
      </c>
      <c r="D286" s="7" t="str">
        <f t="shared" si="33"/>
        <v>Maria Lopez</v>
      </c>
      <c r="E286">
        <v>64</v>
      </c>
      <c r="F286" s="7">
        <f t="shared" si="34"/>
        <v>64</v>
      </c>
      <c r="G286" t="s">
        <v>25</v>
      </c>
      <c r="H286" s="7" t="str">
        <f t="shared" si="35"/>
        <v>Japan</v>
      </c>
      <c r="I286" t="s">
        <v>353</v>
      </c>
      <c r="J286" s="7" t="str">
        <f>TEXT(
  IFERROR(
    DATEVALUE(SUBSTITUTE(SUBSTITUTE(TRIM(I286),"T"," "),"Z","")),
    IFERROR(
      DATE(
        RIGHT(TRIM(I286),4),
        MID(TRIM(I286),4,2),
        LEFT(TRIM(I286),2)
      ),
      DATE(
        VALUE(RIGHT(TRIM(I286),4)),
        MATCH(LEFT(TRIM(I286),FIND(" ",TRIM(I286))-1),
          {"January","February","March","April","May","June","July","August","September","October","November","December"},0),
        VALUE(MID(TRIM(I286),
          FIND(" ",TRIM(I286))+1,
          FIND(" ",TRIM(I286),FIND(" ",TRIM(I286))+1)-FIND(" ",TRIM(I286))-1))
      )
    )
  ),
"yyyy-mm-dd")</f>
        <v>2023-09-29</v>
      </c>
      <c r="K286" s="5" t="str">
        <f t="shared" si="36"/>
        <v>Sep</v>
      </c>
      <c r="L286">
        <v>1673125165</v>
      </c>
      <c r="M286" s="11">
        <f t="shared" si="37"/>
        <v>44933.874594907407</v>
      </c>
      <c r="N286">
        <v>1018.35</v>
      </c>
      <c r="O286" s="7">
        <f t="shared" si="38"/>
        <v>1018.35</v>
      </c>
      <c r="P286" t="s">
        <v>40</v>
      </c>
      <c r="Q286" s="7" t="str">
        <f t="shared" si="39"/>
        <v xml:space="preserve">VIP client </v>
      </c>
    </row>
    <row r="287" spans="1:17">
      <c r="A287">
        <v>1706</v>
      </c>
      <c r="B287" t="s">
        <v>240</v>
      </c>
      <c r="C287" s="9" t="str">
        <f t="shared" si="32"/>
        <v>Fatima Ali</v>
      </c>
      <c r="D287" s="7" t="str">
        <f t="shared" si="33"/>
        <v xml:space="preserve"> Fatima Ali </v>
      </c>
      <c r="E287">
        <v>50</v>
      </c>
      <c r="F287" s="7">
        <f t="shared" si="34"/>
        <v>50</v>
      </c>
      <c r="G287" t="s">
        <v>102</v>
      </c>
      <c r="H287" s="7" t="str">
        <f t="shared" si="35"/>
        <v>Mexico</v>
      </c>
      <c r="I287" t="s">
        <v>354</v>
      </c>
      <c r="J287" s="7" t="str">
        <f>TEXT(
  IFERROR(
    DATEVALUE(SUBSTITUTE(SUBSTITUTE(TRIM(I287),"T"," "),"Z","")),
    IFERROR(
      DATE(
        RIGHT(TRIM(I287),4),
        MID(TRIM(I287),4,2),
        LEFT(TRIM(I287),2)
      ),
      DATE(
        VALUE(RIGHT(TRIM(I287),4)),
        MATCH(LEFT(TRIM(I287),FIND(" ",TRIM(I287))-1),
          {"January","February","March","April","May","June","July","August","September","October","November","December"},0),
        VALUE(MID(TRIM(I287),
          FIND(" ",TRIM(I287))+1,
          FIND(" ",TRIM(I287),FIND(" ",TRIM(I287))+1)-FIND(" ",TRIM(I287))-1))
      )
    )
  ),
"yyyy-mm-dd")</f>
        <v>2023-03-27</v>
      </c>
      <c r="K287" s="5" t="str">
        <f t="shared" si="36"/>
        <v>Mar</v>
      </c>
      <c r="L287">
        <v>1700167611</v>
      </c>
      <c r="M287" s="11">
        <f t="shared" si="37"/>
        <v>45246.865868055553</v>
      </c>
      <c r="O287" s="7">
        <f t="shared" si="38"/>
        <v>0</v>
      </c>
      <c r="P287" t="s">
        <v>36</v>
      </c>
      <c r="Q287" s="7" t="str">
        <f t="shared" si="39"/>
        <v>Regular shopper</v>
      </c>
    </row>
    <row r="288" spans="1:17">
      <c r="A288">
        <v>2066</v>
      </c>
      <c r="B288" t="s">
        <v>183</v>
      </c>
      <c r="C288" s="9" t="str">
        <f t="shared" si="32"/>
        <v>Mia Thompson</v>
      </c>
      <c r="D288" s="7" t="str">
        <f t="shared" si="33"/>
        <v>Mia Thompson</v>
      </c>
      <c r="E288">
        <v>45</v>
      </c>
      <c r="F288" s="7">
        <f t="shared" si="34"/>
        <v>45</v>
      </c>
      <c r="G288" t="s">
        <v>25</v>
      </c>
      <c r="H288" s="7" t="str">
        <f t="shared" si="35"/>
        <v>Japan</v>
      </c>
      <c r="I288" t="s">
        <v>355</v>
      </c>
      <c r="J288" s="7" t="str">
        <f>TEXT(
  IFERROR(
    DATEVALUE(SUBSTITUTE(SUBSTITUTE(TRIM(I288),"T"," "),"Z","")),
    IFERROR(
      DATE(
        RIGHT(TRIM(I288),4),
        MID(TRIM(I288),4,2),
        LEFT(TRIM(I288),2)
      ),
      DATE(
        VALUE(RIGHT(TRIM(I288),4)),
        MATCH(LEFT(TRIM(I288),FIND(" ",TRIM(I288))-1),
          {"January","February","March","April","May","June","July","August","September","October","November","December"},0),
        VALUE(MID(TRIM(I288),
          FIND(" ",TRIM(I288))+1,
          FIND(" ",TRIM(I288),FIND(" ",TRIM(I288))+1)-FIND(" ",TRIM(I288))-1))
      )
    )
  ),
"yyyy-mm-dd")</f>
        <v>2023-08-09</v>
      </c>
      <c r="K288" s="5" t="str">
        <f t="shared" si="36"/>
        <v>Aug</v>
      </c>
      <c r="L288">
        <v>1697693702</v>
      </c>
      <c r="M288" s="11">
        <f t="shared" si="37"/>
        <v>45218.232662037037</v>
      </c>
      <c r="O288" s="7">
        <f t="shared" si="38"/>
        <v>0</v>
      </c>
      <c r="P288" t="s">
        <v>20</v>
      </c>
      <c r="Q288" s="7" t="str">
        <f t="shared" si="39"/>
        <v xml:space="preserve">Great customer </v>
      </c>
    </row>
    <row r="289" spans="1:17">
      <c r="A289">
        <v>1524</v>
      </c>
      <c r="B289" t="s">
        <v>82</v>
      </c>
      <c r="C289" s="9" t="str">
        <f t="shared" si="32"/>
        <v>Björn Larsson</v>
      </c>
      <c r="D289" s="7" t="str">
        <f t="shared" si="33"/>
        <v>Björn Larsson</v>
      </c>
      <c r="E289">
        <v>21</v>
      </c>
      <c r="F289" s="7">
        <f t="shared" si="34"/>
        <v>21</v>
      </c>
      <c r="G289" t="s">
        <v>18</v>
      </c>
      <c r="H289" s="7" t="str">
        <f t="shared" si="35"/>
        <v>United Kingdom</v>
      </c>
      <c r="I289" t="s">
        <v>356</v>
      </c>
      <c r="J289" s="7" t="str">
        <f>TEXT(
  IFERROR(
    DATEVALUE(SUBSTITUTE(SUBSTITUTE(TRIM(I289),"T"," "),"Z","")),
    IFERROR(
      DATE(
        RIGHT(TRIM(I289),4),
        MID(TRIM(I289),4,2),
        LEFT(TRIM(I289),2)
      ),
      DATE(
        VALUE(RIGHT(TRIM(I289),4)),
        MATCH(LEFT(TRIM(I289),FIND(" ",TRIM(I289))-1),
          {"January","February","March","April","May","June","July","August","September","October","November","December"},0),
        VALUE(MID(TRIM(I289),
          FIND(" ",TRIM(I289))+1,
          FIND(" ",TRIM(I289),FIND(" ",TRIM(I289))+1)-FIND(" ",TRIM(I289))-1))
      )
    )
  ),
"yyyy-mm-dd")</f>
        <v>2023-12-01</v>
      </c>
      <c r="K289" s="5" t="str">
        <f t="shared" si="36"/>
        <v>Dec</v>
      </c>
      <c r="L289">
        <v>1674142499</v>
      </c>
      <c r="M289" s="11">
        <f t="shared" si="37"/>
        <v>44945.649293981478</v>
      </c>
      <c r="O289" s="7">
        <f t="shared" si="38"/>
        <v>0</v>
      </c>
      <c r="P289" t="s">
        <v>36</v>
      </c>
      <c r="Q289" s="7" t="str">
        <f t="shared" si="39"/>
        <v>Regular shopper</v>
      </c>
    </row>
    <row r="290" spans="1:17">
      <c r="A290">
        <v>1779</v>
      </c>
      <c r="B290" t="s">
        <v>140</v>
      </c>
      <c r="C290" s="9" t="str">
        <f t="shared" si="32"/>
        <v>Anne Müller</v>
      </c>
      <c r="D290" s="7" t="str">
        <f t="shared" si="33"/>
        <v>Anne Müller</v>
      </c>
      <c r="E290">
        <v>48</v>
      </c>
      <c r="F290" s="7">
        <f t="shared" si="34"/>
        <v>48</v>
      </c>
      <c r="G290" t="s">
        <v>22</v>
      </c>
      <c r="H290" s="7" t="str">
        <f t="shared" si="35"/>
        <v>Germany</v>
      </c>
      <c r="I290" t="s">
        <v>357</v>
      </c>
      <c r="J290" s="7" t="str">
        <f>TEXT(
  IFERROR(
    DATEVALUE(SUBSTITUTE(SUBSTITUTE(TRIM(I290),"T"," "),"Z","")),
    IFERROR(
      DATE(
        RIGHT(TRIM(I290),4),
        MID(TRIM(I290),4,2),
        LEFT(TRIM(I290),2)
      ),
      DATE(
        VALUE(RIGHT(TRIM(I290),4)),
        MATCH(LEFT(TRIM(I290),FIND(" ",TRIM(I290))-1),
          {"January","February","March","April","May","June","July","August","September","October","November","December"},0),
        VALUE(MID(TRIM(I290),
          FIND(" ",TRIM(I290))+1,
          FIND(" ",TRIM(I290),FIND(" ",TRIM(I290))+1)-FIND(" ",TRIM(I290))-1))
      )
    )
  ),
"yyyy-mm-dd")</f>
        <v>2023-12-22</v>
      </c>
      <c r="K290" s="5" t="str">
        <f t="shared" si="36"/>
        <v>Dec</v>
      </c>
      <c r="L290">
        <v>1682627791</v>
      </c>
      <c r="M290" s="11">
        <f t="shared" si="37"/>
        <v>45043.85869212963</v>
      </c>
      <c r="N290">
        <v>637.1</v>
      </c>
      <c r="O290" s="7">
        <f t="shared" si="38"/>
        <v>637.1</v>
      </c>
      <c r="P290" t="s">
        <v>46</v>
      </c>
      <c r="Q290" s="7" t="str">
        <f t="shared" si="39"/>
        <v>Corporate account</v>
      </c>
    </row>
    <row r="291" spans="1:17">
      <c r="A291">
        <v>1553</v>
      </c>
      <c r="B291" t="s">
        <v>183</v>
      </c>
      <c r="C291" s="9" t="str">
        <f t="shared" si="32"/>
        <v>Mia Thompson</v>
      </c>
      <c r="D291" s="7" t="str">
        <f t="shared" si="33"/>
        <v>Mia Thompson</v>
      </c>
      <c r="E291">
        <v>26</v>
      </c>
      <c r="F291" s="7">
        <f t="shared" si="34"/>
        <v>26</v>
      </c>
      <c r="G291" t="s">
        <v>67</v>
      </c>
      <c r="H291" s="7" t="str">
        <f t="shared" si="35"/>
        <v>Sweden</v>
      </c>
      <c r="I291" t="s">
        <v>358</v>
      </c>
      <c r="J291" s="7" t="str">
        <f>TEXT(
  IFERROR(
    DATEVALUE(SUBSTITUTE(SUBSTITUTE(TRIM(I291),"T"," "),"Z","")),
    IFERROR(
      DATE(
        RIGHT(TRIM(I291),4),
        MID(TRIM(I291),4,2),
        LEFT(TRIM(I291),2)
      ),
      DATE(
        VALUE(RIGHT(TRIM(I291),4)),
        MATCH(LEFT(TRIM(I291),FIND(" ",TRIM(I291))-1),
          {"January","February","March","April","May","June","July","August","September","October","November","December"},0),
        VALUE(MID(TRIM(I291),
          FIND(" ",TRIM(I291))+1,
          FIND(" ",TRIM(I291),FIND(" ",TRIM(I291))+1)-FIND(" ",TRIM(I291))-1))
      )
    )
  ),
"yyyy-mm-dd")</f>
        <v>2023-11-13</v>
      </c>
      <c r="K291" s="5" t="str">
        <f t="shared" si="36"/>
        <v>Nov</v>
      </c>
      <c r="L291">
        <v>1682010065</v>
      </c>
      <c r="M291" s="11">
        <f t="shared" si="37"/>
        <v>45036.709085648152</v>
      </c>
      <c r="N291">
        <v>179.88</v>
      </c>
      <c r="O291" s="7">
        <f t="shared" si="38"/>
        <v>179.88</v>
      </c>
      <c r="P291" t="s">
        <v>36</v>
      </c>
      <c r="Q291" s="7" t="str">
        <f t="shared" si="39"/>
        <v>Regular shopper</v>
      </c>
    </row>
    <row r="292" spans="1:17">
      <c r="A292">
        <v>1407</v>
      </c>
      <c r="B292" t="s">
        <v>78</v>
      </c>
      <c r="C292" s="9" t="str">
        <f t="shared" si="32"/>
        <v>Mia Thompson</v>
      </c>
      <c r="D292" s="7" t="str">
        <f t="shared" si="33"/>
        <v xml:space="preserve"> Mia Thompson </v>
      </c>
      <c r="E292">
        <v>34</v>
      </c>
      <c r="F292" s="7">
        <f t="shared" si="34"/>
        <v>34</v>
      </c>
      <c r="G292" t="s">
        <v>122</v>
      </c>
      <c r="H292" s="7" t="str">
        <f t="shared" si="35"/>
        <v>Italy</v>
      </c>
      <c r="I292" t="s">
        <v>359</v>
      </c>
      <c r="J292" s="7" t="str">
        <f>TEXT(
  IFERROR(
    DATEVALUE(SUBSTITUTE(SUBSTITUTE(TRIM(I292),"T"," "),"Z","")),
    IFERROR(
      DATE(
        RIGHT(TRIM(I292),4),
        MID(TRIM(I292),4,2),
        LEFT(TRIM(I292),2)
      ),
      DATE(
        VALUE(RIGHT(TRIM(I292),4)),
        MATCH(LEFT(TRIM(I292),FIND(" ",TRIM(I292))-1),
          {"January","February","March","April","May","June","July","August","September","October","November","December"},0),
        VALUE(MID(TRIM(I292),
          FIND(" ",TRIM(I292))+1,
          FIND(" ",TRIM(I292),FIND(" ",TRIM(I292))+1)-FIND(" ",TRIM(I292))-1))
      )
    )
  ),
"yyyy-mm-dd")</f>
        <v>2023-12-27</v>
      </c>
      <c r="K292" s="5" t="str">
        <f t="shared" si="36"/>
        <v>Dec</v>
      </c>
      <c r="L292">
        <v>1682434341</v>
      </c>
      <c r="M292" s="11">
        <f t="shared" si="37"/>
        <v>45041.619687500002</v>
      </c>
      <c r="O292" s="7">
        <f t="shared" si="38"/>
        <v>0</v>
      </c>
      <c r="P292" t="s">
        <v>40</v>
      </c>
      <c r="Q292" s="7" t="str">
        <f t="shared" si="39"/>
        <v xml:space="preserve">VIP client </v>
      </c>
    </row>
    <row r="293" spans="1:17">
      <c r="A293">
        <v>1985</v>
      </c>
      <c r="B293" t="s">
        <v>195</v>
      </c>
      <c r="C293" s="9" t="str">
        <f t="shared" si="32"/>
        <v>Lucas Silva</v>
      </c>
      <c r="D293" s="7" t="str">
        <f t="shared" si="33"/>
        <v xml:space="preserve"> Lucas Silva </v>
      </c>
      <c r="E293">
        <v>18</v>
      </c>
      <c r="F293" s="7">
        <f t="shared" si="34"/>
        <v>18</v>
      </c>
      <c r="G293" t="s">
        <v>18</v>
      </c>
      <c r="H293" s="7" t="str">
        <f t="shared" si="35"/>
        <v>United Kingdom</v>
      </c>
      <c r="I293" t="s">
        <v>360</v>
      </c>
      <c r="J293" s="7" t="str">
        <f>TEXT(
  IFERROR(
    DATEVALUE(SUBSTITUTE(SUBSTITUTE(TRIM(I293),"T"," "),"Z","")),
    IFERROR(
      DATE(
        RIGHT(TRIM(I293),4),
        MID(TRIM(I293),4,2),
        LEFT(TRIM(I293),2)
      ),
      DATE(
        VALUE(RIGHT(TRIM(I293),4)),
        MATCH(LEFT(TRIM(I293),FIND(" ",TRIM(I293))-1),
          {"January","February","March","April","May","June","July","August","September","October","November","December"},0),
        VALUE(MID(TRIM(I293),
          FIND(" ",TRIM(I293))+1,
          FIND(" ",TRIM(I293),FIND(" ",TRIM(I293))+1)-FIND(" ",TRIM(I293))-1))
      )
    )
  ),
"yyyy-mm-dd")</f>
        <v>2023-10-21</v>
      </c>
      <c r="K293" s="5" t="str">
        <f t="shared" si="36"/>
        <v>Oct</v>
      </c>
      <c r="L293">
        <v>1677528458</v>
      </c>
      <c r="M293" s="11">
        <f t="shared" si="37"/>
        <v>44984.838634259257</v>
      </c>
      <c r="N293">
        <v>1424.67</v>
      </c>
      <c r="O293" s="7">
        <f t="shared" si="38"/>
        <v>1424.67</v>
      </c>
      <c r="P293" t="s">
        <v>52</v>
      </c>
      <c r="Q293" s="7" t="str">
        <f t="shared" si="39"/>
        <v xml:space="preserve">Prefers email </v>
      </c>
    </row>
    <row r="294" spans="1:17">
      <c r="A294">
        <v>1525</v>
      </c>
      <c r="B294" t="s">
        <v>114</v>
      </c>
      <c r="C294" s="9" t="str">
        <f t="shared" si="32"/>
        <v>Liam O’Connor</v>
      </c>
      <c r="D294" s="7" t="str">
        <f t="shared" si="33"/>
        <v xml:space="preserve"> Liam O’Connor </v>
      </c>
      <c r="F294" s="7">
        <f t="shared" si="34"/>
        <v>43</v>
      </c>
      <c r="G294" t="s">
        <v>29</v>
      </c>
      <c r="H294" s="7" t="str">
        <f t="shared" si="35"/>
        <v>United States</v>
      </c>
      <c r="I294" t="s">
        <v>361</v>
      </c>
      <c r="J294" s="7" t="str">
        <f>TEXT(
  IFERROR(
    DATEVALUE(SUBSTITUTE(SUBSTITUTE(TRIM(I294),"T"," "),"Z","")),
    IFERROR(
      DATE(
        RIGHT(TRIM(I294),4),
        MID(TRIM(I294),4,2),
        LEFT(TRIM(I294),2)
      ),
      DATE(
        VALUE(RIGHT(TRIM(I294),4)),
        MATCH(LEFT(TRIM(I294),FIND(" ",TRIM(I294))-1),
          {"January","February","March","April","May","June","July","August","September","October","November","December"},0),
        VALUE(MID(TRIM(I294),
          FIND(" ",TRIM(I294))+1,
          FIND(" ",TRIM(I294),FIND(" ",TRIM(I294))+1)-FIND(" ",TRIM(I294))-1))
      )
    )
  ),
"yyyy-mm-dd")</f>
        <v>2023-02-21</v>
      </c>
      <c r="K294" s="5" t="str">
        <f t="shared" si="36"/>
        <v>Feb</v>
      </c>
      <c r="L294">
        <v>1701855286</v>
      </c>
      <c r="M294" s="11">
        <f t="shared" si="37"/>
        <v>45266.399143518516</v>
      </c>
      <c r="O294" s="7">
        <f t="shared" si="38"/>
        <v>0</v>
      </c>
      <c r="P294" t="s">
        <v>84</v>
      </c>
      <c r="Q294" s="7" t="str">
        <f t="shared" si="39"/>
        <v xml:space="preserve">Newsletter subscriber </v>
      </c>
    </row>
    <row r="295" spans="1:17">
      <c r="A295">
        <v>1641</v>
      </c>
      <c r="B295" t="s">
        <v>74</v>
      </c>
      <c r="C295" s="9" t="str">
        <f t="shared" si="32"/>
        <v>Sofia Rossi</v>
      </c>
      <c r="D295" s="7" t="str">
        <f t="shared" si="33"/>
        <v>Sofia Rossi</v>
      </c>
      <c r="E295">
        <v>24</v>
      </c>
      <c r="F295" s="7">
        <f t="shared" si="34"/>
        <v>24</v>
      </c>
      <c r="G295" t="s">
        <v>18</v>
      </c>
      <c r="H295" s="7" t="str">
        <f t="shared" si="35"/>
        <v>United Kingdom</v>
      </c>
      <c r="I295" t="s">
        <v>362</v>
      </c>
      <c r="J295" s="7" t="str">
        <f>TEXT(
  IFERROR(
    DATEVALUE(SUBSTITUTE(SUBSTITUTE(TRIM(I295),"T"," "),"Z","")),
    IFERROR(
      DATE(
        RIGHT(TRIM(I295),4),
        MID(TRIM(I295),4,2),
        LEFT(TRIM(I295),2)
      ),
      DATE(
        VALUE(RIGHT(TRIM(I295),4)),
        MATCH(LEFT(TRIM(I295),FIND(" ",TRIM(I295))-1),
          {"January","February","March","April","May","June","July","August","September","October","November","December"},0),
        VALUE(MID(TRIM(I295),
          FIND(" ",TRIM(I295))+1,
          FIND(" ",TRIM(I295),FIND(" ",TRIM(I295))+1)-FIND(" ",TRIM(I295))-1))
      )
    )
  ),
"yyyy-mm-dd")</f>
        <v>2023-12-06</v>
      </c>
      <c r="K295" s="5" t="str">
        <f t="shared" si="36"/>
        <v>Dec</v>
      </c>
      <c r="L295">
        <v>1683552027</v>
      </c>
      <c r="M295" s="11">
        <f t="shared" si="37"/>
        <v>45054.555868055555</v>
      </c>
      <c r="O295" s="7">
        <f t="shared" si="38"/>
        <v>0</v>
      </c>
      <c r="P295" t="s">
        <v>27</v>
      </c>
      <c r="Q295" s="7" t="str">
        <f t="shared" si="39"/>
        <v xml:space="preserve">Holiday signup </v>
      </c>
    </row>
    <row r="296" spans="1:17">
      <c r="A296">
        <v>1550</v>
      </c>
      <c r="B296" t="s">
        <v>187</v>
      </c>
      <c r="C296" s="9" t="str">
        <f t="shared" si="32"/>
        <v>André Santos</v>
      </c>
      <c r="D296" s="7" t="str">
        <f t="shared" si="33"/>
        <v xml:space="preserve"> André Santos </v>
      </c>
      <c r="E296">
        <v>39</v>
      </c>
      <c r="F296" s="7">
        <f t="shared" si="34"/>
        <v>39</v>
      </c>
      <c r="G296" t="s">
        <v>116</v>
      </c>
      <c r="H296" s="7" t="str">
        <f t="shared" si="35"/>
        <v>China</v>
      </c>
      <c r="I296" t="s">
        <v>363</v>
      </c>
      <c r="J296" s="7" t="str">
        <f>TEXT(
  IFERROR(
    DATEVALUE(SUBSTITUTE(SUBSTITUTE(TRIM(I296),"T"," "),"Z","")),
    IFERROR(
      DATE(
        RIGHT(TRIM(I296),4),
        MID(TRIM(I296),4,2),
        LEFT(TRIM(I296),2)
      ),
      DATE(
        VALUE(RIGHT(TRIM(I296),4)),
        MATCH(LEFT(TRIM(I296),FIND(" ",TRIM(I296))-1),
          {"January","February","March","April","May","June","July","August","September","October","November","December"},0),
        VALUE(MID(TRIM(I296),
          FIND(" ",TRIM(I296))+1,
          FIND(" ",TRIM(I296),FIND(" ",TRIM(I296))+1)-FIND(" ",TRIM(I296))-1))
      )
    )
  ),
"yyyy-mm-dd")</f>
        <v>2023-07-24</v>
      </c>
      <c r="K296" s="5" t="str">
        <f t="shared" si="36"/>
        <v>Jul</v>
      </c>
      <c r="L296">
        <v>1681645204</v>
      </c>
      <c r="M296" s="11">
        <f t="shared" si="37"/>
        <v>45032.486157407402</v>
      </c>
      <c r="O296" s="7">
        <f t="shared" si="38"/>
        <v>0</v>
      </c>
      <c r="P296" t="s">
        <v>118</v>
      </c>
      <c r="Q296" s="7" t="str">
        <f t="shared" si="39"/>
        <v>High engagement</v>
      </c>
    </row>
    <row r="297" spans="1:17">
      <c r="A297">
        <v>1342</v>
      </c>
      <c r="B297" t="s">
        <v>224</v>
      </c>
      <c r="C297" s="9" t="str">
        <f t="shared" si="32"/>
        <v>Anne Müller</v>
      </c>
      <c r="D297" s="7" t="str">
        <f t="shared" si="33"/>
        <v xml:space="preserve"> Anne Müller </v>
      </c>
      <c r="E297">
        <v>64</v>
      </c>
      <c r="F297" s="7">
        <f t="shared" si="34"/>
        <v>64</v>
      </c>
      <c r="G297" t="s">
        <v>18</v>
      </c>
      <c r="H297" s="7" t="str">
        <f t="shared" si="35"/>
        <v>United Kingdom</v>
      </c>
      <c r="I297" t="s">
        <v>364</v>
      </c>
      <c r="J297" s="7" t="str">
        <f>TEXT(
  IFERROR(
    DATEVALUE(SUBSTITUTE(SUBSTITUTE(TRIM(I297),"T"," "),"Z","")),
    IFERROR(
      DATE(
        RIGHT(TRIM(I297),4),
        MID(TRIM(I297),4,2),
        LEFT(TRIM(I297),2)
      ),
      DATE(
        VALUE(RIGHT(TRIM(I297),4)),
        MATCH(LEFT(TRIM(I297),FIND(" ",TRIM(I297))-1),
          {"January","February","March","April","May","June","July","August","September","October","November","December"},0),
        VALUE(MID(TRIM(I297),
          FIND(" ",TRIM(I297))+1,
          FIND(" ",TRIM(I297),FIND(" ",TRIM(I297))+1)-FIND(" ",TRIM(I297))-1))
      )
    )
  ),
"yyyy-mm-dd")</f>
        <v>2023-08-02</v>
      </c>
      <c r="K297" s="5" t="str">
        <f t="shared" si="36"/>
        <v>Aug</v>
      </c>
      <c r="L297">
        <v>1688719880</v>
      </c>
      <c r="M297" s="11">
        <f t="shared" si="37"/>
        <v>45114.368981481486</v>
      </c>
      <c r="O297" s="7">
        <f t="shared" si="38"/>
        <v>0</v>
      </c>
      <c r="P297" t="s">
        <v>33</v>
      </c>
      <c r="Q297" s="7" t="str">
        <f t="shared" si="39"/>
        <v>Frequent buyer n</v>
      </c>
    </row>
    <row r="298" spans="1:17">
      <c r="A298">
        <v>1130</v>
      </c>
      <c r="B298" t="s">
        <v>37</v>
      </c>
      <c r="C298" s="9" t="str">
        <f t="shared" si="32"/>
        <v>Akira Tanaka</v>
      </c>
      <c r="D298" s="7" t="str">
        <f t="shared" si="33"/>
        <v>Akira Tanaka</v>
      </c>
      <c r="E298">
        <v>63</v>
      </c>
      <c r="F298" s="7">
        <f t="shared" si="34"/>
        <v>63</v>
      </c>
      <c r="G298" t="s">
        <v>67</v>
      </c>
      <c r="H298" s="7" t="str">
        <f t="shared" si="35"/>
        <v>Sweden</v>
      </c>
      <c r="I298" t="s">
        <v>264</v>
      </c>
      <c r="J298" s="7" t="str">
        <f>TEXT(
  IFERROR(
    DATEVALUE(SUBSTITUTE(SUBSTITUTE(TRIM(I298),"T"," "),"Z","")),
    IFERROR(
      DATE(
        RIGHT(TRIM(I298),4),
        MID(TRIM(I298),4,2),
        LEFT(TRIM(I298),2)
      ),
      DATE(
        VALUE(RIGHT(TRIM(I298),4)),
        MATCH(LEFT(TRIM(I298),FIND(" ",TRIM(I298))-1),
          {"January","February","March","April","May","June","July","August","September","October","November","December"},0),
        VALUE(MID(TRIM(I298),
          FIND(" ",TRIM(I298))+1,
          FIND(" ",TRIM(I298),FIND(" ",TRIM(I298))+1)-FIND(" ",TRIM(I298))-1))
      )
    )
  ),
"yyyy-mm-dd")</f>
        <v>2023-10-23</v>
      </c>
      <c r="K298" s="5" t="str">
        <f t="shared" si="36"/>
        <v>Oct</v>
      </c>
      <c r="L298">
        <v>1680039686</v>
      </c>
      <c r="M298" s="11">
        <f t="shared" si="37"/>
        <v>45013.903773148151</v>
      </c>
      <c r="O298" s="7">
        <f t="shared" si="38"/>
        <v>0</v>
      </c>
      <c r="P298" t="s">
        <v>46</v>
      </c>
      <c r="Q298" s="7" t="str">
        <f t="shared" si="39"/>
        <v>Corporate account</v>
      </c>
    </row>
    <row r="299" spans="1:17">
      <c r="A299">
        <v>2072</v>
      </c>
      <c r="B299" t="s">
        <v>24</v>
      </c>
      <c r="C299" s="9" t="str">
        <f t="shared" si="32"/>
        <v>Renée Dupont</v>
      </c>
      <c r="D299" s="7" t="str">
        <f t="shared" si="33"/>
        <v>Renée Dupont</v>
      </c>
      <c r="E299">
        <v>45</v>
      </c>
      <c r="F299" s="7">
        <f t="shared" si="34"/>
        <v>45</v>
      </c>
      <c r="G299" t="s">
        <v>38</v>
      </c>
      <c r="H299" s="7" t="str">
        <f t="shared" si="35"/>
        <v>Spain</v>
      </c>
      <c r="I299" t="s">
        <v>365</v>
      </c>
      <c r="J299" s="7" t="str">
        <f>TEXT(
  IFERROR(
    DATEVALUE(SUBSTITUTE(SUBSTITUTE(TRIM(I299),"T"," "),"Z","")),
    IFERROR(
      DATE(
        RIGHT(TRIM(I299),4),
        MID(TRIM(I299),4,2),
        LEFT(TRIM(I299),2)
      ),
      DATE(
        VALUE(RIGHT(TRIM(I299),4)),
        MATCH(LEFT(TRIM(I299),FIND(" ",TRIM(I299))-1),
          {"January","February","March","April","May","June","July","August","September","October","November","December"},0),
        VALUE(MID(TRIM(I299),
          FIND(" ",TRIM(I299))+1,
          FIND(" ",TRIM(I299),FIND(" ",TRIM(I299))+1)-FIND(" ",TRIM(I299))-1))
      )
    )
  ),
"yyyy-mm-dd")</f>
        <v>2023-04-09</v>
      </c>
      <c r="K299" s="5" t="str">
        <f t="shared" si="36"/>
        <v>Apr</v>
      </c>
      <c r="L299">
        <v>1694794433</v>
      </c>
      <c r="M299" s="11">
        <f t="shared" si="37"/>
        <v>45184.676307870366</v>
      </c>
      <c r="O299" s="7">
        <f t="shared" si="38"/>
        <v>0</v>
      </c>
      <c r="P299" t="s">
        <v>33</v>
      </c>
      <c r="Q299" s="7" t="str">
        <f t="shared" si="39"/>
        <v>Frequent buyer n</v>
      </c>
    </row>
    <row r="300" spans="1:17">
      <c r="A300">
        <v>2144</v>
      </c>
      <c r="B300" t="s">
        <v>78</v>
      </c>
      <c r="C300" s="9" t="str">
        <f t="shared" si="32"/>
        <v>Mia Thompson</v>
      </c>
      <c r="D300" s="7" t="str">
        <f t="shared" si="33"/>
        <v xml:space="preserve"> Mia Thompson </v>
      </c>
      <c r="E300">
        <v>28</v>
      </c>
      <c r="F300" s="7">
        <f t="shared" si="34"/>
        <v>28</v>
      </c>
      <c r="G300" t="s">
        <v>60</v>
      </c>
      <c r="H300" s="7" t="str">
        <f t="shared" si="35"/>
        <v>Egypt</v>
      </c>
      <c r="I300" t="s">
        <v>366</v>
      </c>
      <c r="J300" s="7" t="str">
        <f>TEXT(
  IFERROR(
    DATEVALUE(SUBSTITUTE(SUBSTITUTE(TRIM(I300),"T"," "),"Z","")),
    IFERROR(
      DATE(
        RIGHT(TRIM(I300),4),
        MID(TRIM(I300),4,2),
        LEFT(TRIM(I300),2)
      ),
      DATE(
        VALUE(RIGHT(TRIM(I300),4)),
        MATCH(LEFT(TRIM(I300),FIND(" ",TRIM(I300))-1),
          {"January","February","March","April","May","June","July","August","September","October","November","December"},0),
        VALUE(MID(TRIM(I300),
          FIND(" ",TRIM(I300))+1,
          FIND(" ",TRIM(I300),FIND(" ",TRIM(I300))+1)-FIND(" ",TRIM(I300))-1))
      )
    )
  ),
"yyyy-mm-dd")</f>
        <v>2023-09-11</v>
      </c>
      <c r="K300" s="5" t="str">
        <f t="shared" si="36"/>
        <v>Sep</v>
      </c>
      <c r="L300">
        <v>1675036060</v>
      </c>
      <c r="M300" s="11">
        <f t="shared" si="37"/>
        <v>44955.991435185184</v>
      </c>
      <c r="O300" s="7">
        <f t="shared" si="38"/>
        <v>0</v>
      </c>
      <c r="P300" t="s">
        <v>40</v>
      </c>
      <c r="Q300" s="7" t="str">
        <f t="shared" si="39"/>
        <v xml:space="preserve">VIP client </v>
      </c>
    </row>
    <row r="301" spans="1:17">
      <c r="A301">
        <v>1678</v>
      </c>
      <c r="B301" t="s">
        <v>85</v>
      </c>
      <c r="C301" s="9" t="str">
        <f t="shared" si="32"/>
        <v>Akira Tanaka</v>
      </c>
      <c r="D301" s="7" t="str">
        <f t="shared" si="33"/>
        <v xml:space="preserve"> Akira Tanaka </v>
      </c>
      <c r="E301">
        <v>53</v>
      </c>
      <c r="F301" s="7">
        <f t="shared" si="34"/>
        <v>53</v>
      </c>
      <c r="G301" t="s">
        <v>116</v>
      </c>
      <c r="H301" s="7" t="str">
        <f t="shared" si="35"/>
        <v>China</v>
      </c>
      <c r="I301" t="s">
        <v>367</v>
      </c>
      <c r="J301" s="7" t="str">
        <f>TEXT(
  IFERROR(
    DATEVALUE(SUBSTITUTE(SUBSTITUTE(TRIM(I301),"T"," "),"Z","")),
    IFERROR(
      DATE(
        RIGHT(TRIM(I301),4),
        MID(TRIM(I301),4,2),
        LEFT(TRIM(I301),2)
      ),
      DATE(
        VALUE(RIGHT(TRIM(I301),4)),
        MATCH(LEFT(TRIM(I301),FIND(" ",TRIM(I301))-1),
          {"January","February","March","April","May","June","July","August","September","October","November","December"},0),
        VALUE(MID(TRIM(I301),
          FIND(" ",TRIM(I301))+1,
          FIND(" ",TRIM(I301),FIND(" ",TRIM(I301))+1)-FIND(" ",TRIM(I301))-1))
      )
    )
  ),
"yyyy-mm-dd")</f>
        <v>2023-07-26</v>
      </c>
      <c r="K301" s="5" t="str">
        <f t="shared" si="36"/>
        <v>Jul</v>
      </c>
      <c r="L301">
        <v>1675169115</v>
      </c>
      <c r="M301" s="11">
        <f t="shared" si="37"/>
        <v>44957.531423611115</v>
      </c>
      <c r="O301" s="7">
        <f t="shared" si="38"/>
        <v>0</v>
      </c>
      <c r="P301" t="s">
        <v>52</v>
      </c>
      <c r="Q301" s="7" t="str">
        <f t="shared" si="39"/>
        <v xml:space="preserve">Prefers email </v>
      </c>
    </row>
    <row r="302" spans="1:17">
      <c r="A302">
        <v>2021</v>
      </c>
      <c r="B302" t="s">
        <v>210</v>
      </c>
      <c r="C302" s="9" t="str">
        <f t="shared" si="32"/>
        <v>Ethan Clark</v>
      </c>
      <c r="D302" s="7" t="str">
        <f t="shared" si="33"/>
        <v>Ethan Clark</v>
      </c>
      <c r="E302">
        <v>65</v>
      </c>
      <c r="F302" s="7">
        <f t="shared" si="34"/>
        <v>65</v>
      </c>
      <c r="G302" t="s">
        <v>29</v>
      </c>
      <c r="H302" s="7" t="str">
        <f t="shared" si="35"/>
        <v>United States</v>
      </c>
      <c r="I302" t="s">
        <v>368</v>
      </c>
      <c r="J302" s="7" t="str">
        <f>TEXT(
  IFERROR(
    DATEVALUE(SUBSTITUTE(SUBSTITUTE(TRIM(I302),"T"," "),"Z","")),
    IFERROR(
      DATE(
        RIGHT(TRIM(I302),4),
        MID(TRIM(I302),4,2),
        LEFT(TRIM(I302),2)
      ),
      DATE(
        VALUE(RIGHT(TRIM(I302),4)),
        MATCH(LEFT(TRIM(I302),FIND(" ",TRIM(I302))-1),
          {"January","February","March","April","May","June","July","August","September","October","November","December"},0),
        VALUE(MID(TRIM(I302),
          FIND(" ",TRIM(I302))+1,
          FIND(" ",TRIM(I302),FIND(" ",TRIM(I302))+1)-FIND(" ",TRIM(I302))-1))
      )
    )
  ),
"yyyy-mm-dd")</f>
        <v>2023-02-22</v>
      </c>
      <c r="K302" s="5" t="str">
        <f t="shared" si="36"/>
        <v>Feb</v>
      </c>
      <c r="L302">
        <v>1686359785</v>
      </c>
      <c r="M302" s="11">
        <f t="shared" si="37"/>
        <v>45087.053067129629</v>
      </c>
      <c r="N302">
        <v>63.39</v>
      </c>
      <c r="O302" s="7">
        <f t="shared" si="38"/>
        <v>63.39</v>
      </c>
      <c r="P302" t="s">
        <v>52</v>
      </c>
      <c r="Q302" s="7" t="str">
        <f t="shared" si="39"/>
        <v xml:space="preserve">Prefers email </v>
      </c>
    </row>
    <row r="303" spans="1:17">
      <c r="A303">
        <v>1624</v>
      </c>
      <c r="B303" t="s">
        <v>80</v>
      </c>
      <c r="C303" s="9" t="str">
        <f t="shared" si="32"/>
        <v>Ahmed Hassan</v>
      </c>
      <c r="D303" s="7" t="str">
        <f t="shared" si="33"/>
        <v>Ahmed Hassan</v>
      </c>
      <c r="F303" s="7">
        <f t="shared" si="34"/>
        <v>43</v>
      </c>
      <c r="G303" t="s">
        <v>25</v>
      </c>
      <c r="H303" s="7" t="str">
        <f t="shared" si="35"/>
        <v>Japan</v>
      </c>
      <c r="I303" t="s">
        <v>369</v>
      </c>
      <c r="J303" s="7" t="str">
        <f>TEXT(
  IFERROR(
    DATEVALUE(SUBSTITUTE(SUBSTITUTE(TRIM(I303),"T"," "),"Z","")),
    IFERROR(
      DATE(
        RIGHT(TRIM(I303),4),
        MID(TRIM(I303),4,2),
        LEFT(TRIM(I303),2)
      ),
      DATE(
        VALUE(RIGHT(TRIM(I303),4)),
        MATCH(LEFT(TRIM(I303),FIND(" ",TRIM(I303))-1),
          {"January","February","March","April","May","June","July","August","September","October","November","December"},0),
        VALUE(MID(TRIM(I303),
          FIND(" ",TRIM(I303))+1,
          FIND(" ",TRIM(I303),FIND(" ",TRIM(I303))+1)-FIND(" ",TRIM(I303))-1))
      )
    )
  ),
"yyyy-mm-dd")</f>
        <v>2023-07-06</v>
      </c>
      <c r="K303" s="5" t="str">
        <f t="shared" si="36"/>
        <v>Jul</v>
      </c>
      <c r="L303">
        <v>1699924169</v>
      </c>
      <c r="M303" s="11">
        <f t="shared" si="37"/>
        <v>45244.048252314809</v>
      </c>
      <c r="O303" s="7">
        <f t="shared" si="38"/>
        <v>0</v>
      </c>
      <c r="P303" t="s">
        <v>84</v>
      </c>
      <c r="Q303" s="7" t="str">
        <f t="shared" si="39"/>
        <v xml:space="preserve">Newsletter subscriber </v>
      </c>
    </row>
    <row r="304" spans="1:17">
      <c r="A304">
        <v>2148</v>
      </c>
      <c r="B304" t="s">
        <v>82</v>
      </c>
      <c r="C304" s="9" t="str">
        <f t="shared" si="32"/>
        <v>Björn Larsson</v>
      </c>
      <c r="D304" s="7" t="str">
        <f t="shared" si="33"/>
        <v>Björn Larsson</v>
      </c>
      <c r="E304">
        <v>63</v>
      </c>
      <c r="F304" s="7">
        <f t="shared" si="34"/>
        <v>63</v>
      </c>
      <c r="G304" t="s">
        <v>122</v>
      </c>
      <c r="H304" s="7" t="str">
        <f t="shared" si="35"/>
        <v>Italy</v>
      </c>
      <c r="I304" t="s">
        <v>370</v>
      </c>
      <c r="J304" s="7" t="str">
        <f>TEXT(
  IFERROR(
    DATEVALUE(SUBSTITUTE(SUBSTITUTE(TRIM(I304),"T"," "),"Z","")),
    IFERROR(
      DATE(
        RIGHT(TRIM(I304),4),
        MID(TRIM(I304),4,2),
        LEFT(TRIM(I304),2)
      ),
      DATE(
        VALUE(RIGHT(TRIM(I304),4)),
        MATCH(LEFT(TRIM(I304),FIND(" ",TRIM(I304))-1),
          {"January","February","March","April","May","June","July","August","September","October","November","December"},0),
        VALUE(MID(TRIM(I304),
          FIND(" ",TRIM(I304))+1,
          FIND(" ",TRIM(I304),FIND(" ",TRIM(I304))+1)-FIND(" ",TRIM(I304))-1))
      )
    )
  ),
"yyyy-mm-dd")</f>
        <v>2023-08-20</v>
      </c>
      <c r="K304" s="5" t="str">
        <f t="shared" si="36"/>
        <v>Aug</v>
      </c>
      <c r="L304">
        <v>1675793443</v>
      </c>
      <c r="M304" s="11">
        <f t="shared" si="37"/>
        <v>44964.75744212963</v>
      </c>
      <c r="N304">
        <v>1141.3900000000001</v>
      </c>
      <c r="O304" s="7">
        <f t="shared" si="38"/>
        <v>1141.3900000000001</v>
      </c>
      <c r="P304" t="s">
        <v>20</v>
      </c>
      <c r="Q304" s="7" t="str">
        <f t="shared" si="39"/>
        <v xml:space="preserve">Great customer </v>
      </c>
    </row>
    <row r="305" spans="1:17">
      <c r="A305">
        <v>1700</v>
      </c>
      <c r="B305" t="s">
        <v>90</v>
      </c>
      <c r="C305" s="9" t="str">
        <f t="shared" si="32"/>
        <v>Olivia Wilson</v>
      </c>
      <c r="D305" s="7" t="str">
        <f t="shared" si="33"/>
        <v>Olivia Wilson</v>
      </c>
      <c r="E305">
        <v>53</v>
      </c>
      <c r="F305" s="7">
        <f t="shared" si="34"/>
        <v>53</v>
      </c>
      <c r="G305" t="s">
        <v>122</v>
      </c>
      <c r="H305" s="7" t="str">
        <f t="shared" si="35"/>
        <v>Italy</v>
      </c>
      <c r="I305" t="s">
        <v>371</v>
      </c>
      <c r="J305" s="7" t="str">
        <f>TEXT(
  IFERROR(
    DATEVALUE(SUBSTITUTE(SUBSTITUTE(TRIM(I305),"T"," "),"Z","")),
    IFERROR(
      DATE(
        RIGHT(TRIM(I305),4),
        MID(TRIM(I305),4,2),
        LEFT(TRIM(I305),2)
      ),
      DATE(
        VALUE(RIGHT(TRIM(I305),4)),
        MATCH(LEFT(TRIM(I305),FIND(" ",TRIM(I305))-1),
          {"January","February","March","April","May","June","July","August","September","October","November","December"},0),
        VALUE(MID(TRIM(I305),
          FIND(" ",TRIM(I305))+1,
          FIND(" ",TRIM(I305),FIND(" ",TRIM(I305))+1)-FIND(" ",TRIM(I305))-1))
      )
    )
  ),
"yyyy-mm-dd")</f>
        <v>2023-12-26</v>
      </c>
      <c r="K305" s="5" t="str">
        <f t="shared" si="36"/>
        <v>Dec</v>
      </c>
      <c r="L305">
        <v>1674060058</v>
      </c>
      <c r="M305" s="11">
        <f t="shared" si="37"/>
        <v>44944.695115740746</v>
      </c>
      <c r="O305" s="7">
        <f t="shared" si="38"/>
        <v>0</v>
      </c>
      <c r="P305" t="s">
        <v>33</v>
      </c>
      <c r="Q305" s="7" t="str">
        <f t="shared" si="39"/>
        <v>Frequent buyer n</v>
      </c>
    </row>
    <row r="306" spans="1:17">
      <c r="A306">
        <v>1839</v>
      </c>
      <c r="B306" t="s">
        <v>224</v>
      </c>
      <c r="C306" s="9" t="str">
        <f t="shared" si="32"/>
        <v>Anne Müller</v>
      </c>
      <c r="D306" s="7" t="str">
        <f t="shared" si="33"/>
        <v xml:space="preserve"> Anne Müller </v>
      </c>
      <c r="E306">
        <v>30</v>
      </c>
      <c r="F306" s="7">
        <f t="shared" si="34"/>
        <v>30</v>
      </c>
      <c r="G306" t="s">
        <v>116</v>
      </c>
      <c r="H306" s="7" t="str">
        <f t="shared" si="35"/>
        <v>China</v>
      </c>
      <c r="I306" t="s">
        <v>193</v>
      </c>
      <c r="J306" s="7" t="str">
        <f>TEXT(
  IFERROR(
    DATEVALUE(SUBSTITUTE(SUBSTITUTE(TRIM(I306),"T"," "),"Z","")),
    IFERROR(
      DATE(
        RIGHT(TRIM(I306),4),
        MID(TRIM(I306),4,2),
        LEFT(TRIM(I306),2)
      ),
      DATE(
        VALUE(RIGHT(TRIM(I306),4)),
        MATCH(LEFT(TRIM(I306),FIND(" ",TRIM(I306))-1),
          {"January","February","March","April","May","June","July","August","September","October","November","December"},0),
        VALUE(MID(TRIM(I306),
          FIND(" ",TRIM(I306))+1,
          FIND(" ",TRIM(I306),FIND(" ",TRIM(I306))+1)-FIND(" ",TRIM(I306))-1))
      )
    )
  ),
"yyyy-mm-dd")</f>
        <v>2023-04-21</v>
      </c>
      <c r="K306" s="5" t="str">
        <f t="shared" si="36"/>
        <v>Apr</v>
      </c>
      <c r="L306">
        <v>1700191445</v>
      </c>
      <c r="M306" s="11">
        <f t="shared" si="37"/>
        <v>45247.141724537039</v>
      </c>
      <c r="O306" s="7">
        <f t="shared" si="38"/>
        <v>0</v>
      </c>
      <c r="P306" t="s">
        <v>52</v>
      </c>
      <c r="Q306" s="7" t="str">
        <f t="shared" si="39"/>
        <v xml:space="preserve">Prefers email </v>
      </c>
    </row>
    <row r="307" spans="1:17">
      <c r="A307">
        <v>1849</v>
      </c>
      <c r="B307" t="s">
        <v>28</v>
      </c>
      <c r="C307" s="9" t="str">
        <f t="shared" si="32"/>
        <v>Maria Lopez</v>
      </c>
      <c r="D307" s="7" t="str">
        <f t="shared" si="33"/>
        <v>Maria Lopez</v>
      </c>
      <c r="E307">
        <v>61</v>
      </c>
      <c r="F307" s="7">
        <f t="shared" si="34"/>
        <v>61</v>
      </c>
      <c r="G307" t="s">
        <v>111</v>
      </c>
      <c r="H307" s="7" t="str">
        <f t="shared" si="35"/>
        <v>South Korea</v>
      </c>
      <c r="I307" t="s">
        <v>372</v>
      </c>
      <c r="J307" s="7" t="str">
        <f>TEXT(
  IFERROR(
    DATEVALUE(SUBSTITUTE(SUBSTITUTE(TRIM(I307),"T"," "),"Z","")),
    IFERROR(
      DATE(
        RIGHT(TRIM(I307),4),
        MID(TRIM(I307),4,2),
        LEFT(TRIM(I307),2)
      ),
      DATE(
        VALUE(RIGHT(TRIM(I307),4)),
        MATCH(LEFT(TRIM(I307),FIND(" ",TRIM(I307))-1),
          {"January","February","March","April","May","June","July","August","September","October","November","December"},0),
        VALUE(MID(TRIM(I307),
          FIND(" ",TRIM(I307))+1,
          FIND(" ",TRIM(I307),FIND(" ",TRIM(I307))+1)-FIND(" ",TRIM(I307))-1))
      )
    )
  ),
"yyyy-mm-dd")</f>
        <v>2023-08-23</v>
      </c>
      <c r="K307" s="5" t="str">
        <f t="shared" si="36"/>
        <v>Aug</v>
      </c>
      <c r="L307">
        <v>1689442063</v>
      </c>
      <c r="M307" s="11">
        <f t="shared" si="37"/>
        <v>45122.727581018524</v>
      </c>
      <c r="O307" s="7">
        <f t="shared" si="38"/>
        <v>0</v>
      </c>
      <c r="P307" t="s">
        <v>20</v>
      </c>
      <c r="Q307" s="7" t="str">
        <f t="shared" si="39"/>
        <v xml:space="preserve">Great customer </v>
      </c>
    </row>
    <row r="308" spans="1:17">
      <c r="A308">
        <v>2087</v>
      </c>
      <c r="B308" t="s">
        <v>187</v>
      </c>
      <c r="C308" s="9" t="str">
        <f t="shared" si="32"/>
        <v>André Santos</v>
      </c>
      <c r="D308" s="7" t="str">
        <f t="shared" si="33"/>
        <v xml:space="preserve"> André Santos </v>
      </c>
      <c r="F308" s="7">
        <f t="shared" si="34"/>
        <v>43</v>
      </c>
      <c r="G308" t="s">
        <v>67</v>
      </c>
      <c r="H308" s="7" t="str">
        <f t="shared" si="35"/>
        <v>Sweden</v>
      </c>
      <c r="I308" t="s">
        <v>129</v>
      </c>
      <c r="J308" s="7" t="str">
        <f>TEXT(
  IFERROR(
    DATEVALUE(SUBSTITUTE(SUBSTITUTE(TRIM(I308),"T"," "),"Z","")),
    IFERROR(
      DATE(
        RIGHT(TRIM(I308),4),
        MID(TRIM(I308),4,2),
        LEFT(TRIM(I308),2)
      ),
      DATE(
        VALUE(RIGHT(TRIM(I308),4)),
        MATCH(LEFT(TRIM(I308),FIND(" ",TRIM(I308))-1),
          {"January","February","March","April","May","June","July","August","September","October","November","December"},0),
        VALUE(MID(TRIM(I308),
          FIND(" ",TRIM(I308))+1,
          FIND(" ",TRIM(I308),FIND(" ",TRIM(I308))+1)-FIND(" ",TRIM(I308))-1))
      )
    )
  ),
"yyyy-mm-dd")</f>
        <v>2023-04-01</v>
      </c>
      <c r="K308" s="5" t="str">
        <f t="shared" si="36"/>
        <v>Apr</v>
      </c>
      <c r="L308">
        <v>1678350736</v>
      </c>
      <c r="M308" s="11">
        <f t="shared" si="37"/>
        <v>44994.355740740742</v>
      </c>
      <c r="N308">
        <v>1098.44</v>
      </c>
      <c r="O308" s="7">
        <f t="shared" si="38"/>
        <v>1098.44</v>
      </c>
      <c r="P308" t="s">
        <v>52</v>
      </c>
      <c r="Q308" s="7" t="str">
        <f t="shared" si="39"/>
        <v xml:space="preserve">Prefers email </v>
      </c>
    </row>
    <row r="309" spans="1:17">
      <c r="A309">
        <v>1722</v>
      </c>
      <c r="B309" t="s">
        <v>148</v>
      </c>
      <c r="C309" s="9" t="str">
        <f t="shared" si="32"/>
        <v>Chloe Dubois</v>
      </c>
      <c r="D309" s="7" t="str">
        <f t="shared" si="33"/>
        <v>Chloe Dubois</v>
      </c>
      <c r="E309">
        <v>60</v>
      </c>
      <c r="F309" s="7">
        <f t="shared" si="34"/>
        <v>60</v>
      </c>
      <c r="G309" t="s">
        <v>44</v>
      </c>
      <c r="H309" s="7" t="str">
        <f t="shared" si="35"/>
        <v>UAE</v>
      </c>
      <c r="I309" t="s">
        <v>373</v>
      </c>
      <c r="J309" s="7" t="str">
        <f>TEXT(
  IFERROR(
    DATEVALUE(SUBSTITUTE(SUBSTITUTE(TRIM(I309),"T"," "),"Z","")),
    IFERROR(
      DATE(
        RIGHT(TRIM(I309),4),
        MID(TRIM(I309),4,2),
        LEFT(TRIM(I309),2)
      ),
      DATE(
        VALUE(RIGHT(TRIM(I309),4)),
        MATCH(LEFT(TRIM(I309),FIND(" ",TRIM(I309))-1),
          {"January","February","March","April","May","June","July","August","September","October","November","December"},0),
        VALUE(MID(TRIM(I309),
          FIND(" ",TRIM(I309))+1,
          FIND(" ",TRIM(I309),FIND(" ",TRIM(I309))+1)-FIND(" ",TRIM(I309))-1))
      )
    )
  ),
"yyyy-mm-dd")</f>
        <v>2023-12-12</v>
      </c>
      <c r="K309" s="5" t="str">
        <f t="shared" si="36"/>
        <v>Dec</v>
      </c>
      <c r="L309">
        <v>1682118150</v>
      </c>
      <c r="M309" s="11">
        <f t="shared" si="37"/>
        <v>45037.960069444445</v>
      </c>
      <c r="O309" s="7">
        <f t="shared" si="38"/>
        <v>0</v>
      </c>
      <c r="P309" t="s">
        <v>20</v>
      </c>
      <c r="Q309" s="7" t="str">
        <f t="shared" si="39"/>
        <v xml:space="preserve">Great customer </v>
      </c>
    </row>
    <row r="310" spans="1:17">
      <c r="A310">
        <v>2071</v>
      </c>
      <c r="B310" t="s">
        <v>224</v>
      </c>
      <c r="C310" s="9" t="str">
        <f t="shared" si="32"/>
        <v>Anne Müller</v>
      </c>
      <c r="D310" s="7" t="str">
        <f t="shared" si="33"/>
        <v xml:space="preserve"> Anne Müller </v>
      </c>
      <c r="E310">
        <v>21</v>
      </c>
      <c r="F310" s="7">
        <f t="shared" si="34"/>
        <v>21</v>
      </c>
      <c r="G310" t="s">
        <v>29</v>
      </c>
      <c r="H310" s="7" t="str">
        <f t="shared" si="35"/>
        <v>United States</v>
      </c>
      <c r="I310" t="s">
        <v>374</v>
      </c>
      <c r="J310" s="7" t="str">
        <f>TEXT(
  IFERROR(
    DATEVALUE(SUBSTITUTE(SUBSTITUTE(TRIM(I310),"T"," "),"Z","")),
    IFERROR(
      DATE(
        RIGHT(TRIM(I310),4),
        MID(TRIM(I310),4,2),
        LEFT(TRIM(I310),2)
      ),
      DATE(
        VALUE(RIGHT(TRIM(I310),4)),
        MATCH(LEFT(TRIM(I310),FIND(" ",TRIM(I310))-1),
          {"January","February","March","April","May","June","July","August","September","October","November","December"},0),
        VALUE(MID(TRIM(I310),
          FIND(" ",TRIM(I310))+1,
          FIND(" ",TRIM(I310),FIND(" ",TRIM(I310))+1)-FIND(" ",TRIM(I310))-1))
      )
    )
  ),
"yyyy-mm-dd")</f>
        <v>2023-04-13</v>
      </c>
      <c r="K310" s="5" t="str">
        <f t="shared" si="36"/>
        <v>Apr</v>
      </c>
      <c r="L310">
        <v>1697696032</v>
      </c>
      <c r="M310" s="11">
        <f t="shared" si="37"/>
        <v>45218.259629629625</v>
      </c>
      <c r="O310" s="7">
        <f t="shared" si="38"/>
        <v>0</v>
      </c>
      <c r="P310" t="s">
        <v>58</v>
      </c>
      <c r="Q310" s="7" t="str">
        <f t="shared" si="39"/>
        <v>Student account</v>
      </c>
    </row>
    <row r="311" spans="1:17">
      <c r="A311">
        <v>1300</v>
      </c>
      <c r="B311" t="s">
        <v>28</v>
      </c>
      <c r="C311" s="9" t="str">
        <f t="shared" si="32"/>
        <v>Maria Lopez</v>
      </c>
      <c r="D311" s="7" t="str">
        <f t="shared" si="33"/>
        <v>Maria Lopez</v>
      </c>
      <c r="E311">
        <v>31</v>
      </c>
      <c r="F311" s="7">
        <f t="shared" si="34"/>
        <v>31</v>
      </c>
      <c r="G311" t="s">
        <v>29</v>
      </c>
      <c r="H311" s="7" t="str">
        <f t="shared" si="35"/>
        <v>United States</v>
      </c>
      <c r="I311" t="s">
        <v>375</v>
      </c>
      <c r="J311" s="7" t="str">
        <f>TEXT(
  IFERROR(
    DATEVALUE(SUBSTITUTE(SUBSTITUTE(TRIM(I311),"T"," "),"Z","")),
    IFERROR(
      DATE(
        RIGHT(TRIM(I311),4),
        MID(TRIM(I311),4,2),
        LEFT(TRIM(I311),2)
      ),
      DATE(
        VALUE(RIGHT(TRIM(I311),4)),
        MATCH(LEFT(TRIM(I311),FIND(" ",TRIM(I311))-1),
          {"January","February","March","April","May","June","July","August","September","October","November","December"},0),
        VALUE(MID(TRIM(I311),
          FIND(" ",TRIM(I311))+1,
          FIND(" ",TRIM(I311),FIND(" ",TRIM(I311))+1)-FIND(" ",TRIM(I311))-1))
      )
    )
  ),
"yyyy-mm-dd")</f>
        <v>2023-07-03</v>
      </c>
      <c r="K311" s="5" t="str">
        <f t="shared" si="36"/>
        <v>Jul</v>
      </c>
      <c r="L311">
        <v>1675962658</v>
      </c>
      <c r="M311" s="11">
        <f t="shared" si="37"/>
        <v>44966.715949074074</v>
      </c>
      <c r="N311">
        <v>928</v>
      </c>
      <c r="O311" s="7">
        <f t="shared" si="38"/>
        <v>928</v>
      </c>
      <c r="P311" t="s">
        <v>46</v>
      </c>
      <c r="Q311" s="7" t="str">
        <f t="shared" si="39"/>
        <v>Corporate account</v>
      </c>
    </row>
    <row r="312" spans="1:17">
      <c r="A312">
        <v>1797</v>
      </c>
      <c r="B312" t="s">
        <v>72</v>
      </c>
      <c r="C312" s="9" t="str">
        <f t="shared" si="32"/>
        <v>Emily Davis</v>
      </c>
      <c r="D312" s="7" t="str">
        <f t="shared" si="33"/>
        <v>Emily Davis</v>
      </c>
      <c r="E312">
        <v>36</v>
      </c>
      <c r="F312" s="7">
        <f t="shared" si="34"/>
        <v>36</v>
      </c>
      <c r="G312" t="s">
        <v>29</v>
      </c>
      <c r="H312" s="7" t="str">
        <f t="shared" si="35"/>
        <v>United States</v>
      </c>
      <c r="I312" t="s">
        <v>376</v>
      </c>
      <c r="J312" s="7" t="str">
        <f>TEXT(
  IFERROR(
    DATEVALUE(SUBSTITUTE(SUBSTITUTE(TRIM(I312),"T"," "),"Z","")),
    IFERROR(
      DATE(
        RIGHT(TRIM(I312),4),
        MID(TRIM(I312),4,2),
        LEFT(TRIM(I312),2)
      ),
      DATE(
        VALUE(RIGHT(TRIM(I312),4)),
        MATCH(LEFT(TRIM(I312),FIND(" ",TRIM(I312))-1),
          {"January","February","March","April","May","June","July","August","September","October","November","December"},0),
        VALUE(MID(TRIM(I312),
          FIND(" ",TRIM(I312))+1,
          FIND(" ",TRIM(I312),FIND(" ",TRIM(I312))+1)-FIND(" ",TRIM(I312))-1))
      )
    )
  ),
"yyyy-mm-dd")</f>
        <v>2023-07-15</v>
      </c>
      <c r="K312" s="5" t="str">
        <f t="shared" si="36"/>
        <v>Jul</v>
      </c>
      <c r="L312">
        <v>1686501643</v>
      </c>
      <c r="M312" s="11">
        <f t="shared" si="37"/>
        <v>45088.69494212963</v>
      </c>
      <c r="O312" s="7">
        <f t="shared" si="38"/>
        <v>0</v>
      </c>
      <c r="P312" t="s">
        <v>46</v>
      </c>
      <c r="Q312" s="7" t="str">
        <f t="shared" si="39"/>
        <v>Corporate account</v>
      </c>
    </row>
    <row r="313" spans="1:17">
      <c r="A313">
        <v>1603</v>
      </c>
      <c r="B313" t="s">
        <v>64</v>
      </c>
      <c r="C313" s="9" t="str">
        <f t="shared" si="32"/>
        <v>Ethan Clark</v>
      </c>
      <c r="D313" s="7" t="str">
        <f t="shared" si="33"/>
        <v xml:space="preserve"> Ethan Clark </v>
      </c>
      <c r="E313">
        <v>61</v>
      </c>
      <c r="F313" s="7">
        <f t="shared" si="34"/>
        <v>61</v>
      </c>
      <c r="G313" t="s">
        <v>48</v>
      </c>
      <c r="H313" s="7" t="str">
        <f t="shared" si="35"/>
        <v>France</v>
      </c>
      <c r="I313" t="s">
        <v>377</v>
      </c>
      <c r="J313" s="7" t="str">
        <f>TEXT(
  IFERROR(
    DATEVALUE(SUBSTITUTE(SUBSTITUTE(TRIM(I313),"T"," "),"Z","")),
    IFERROR(
      DATE(
        RIGHT(TRIM(I313),4),
        MID(TRIM(I313),4,2),
        LEFT(TRIM(I313),2)
      ),
      DATE(
        VALUE(RIGHT(TRIM(I313),4)),
        MATCH(LEFT(TRIM(I313),FIND(" ",TRIM(I313))-1),
          {"January","February","March","April","May","June","July","August","September","October","November","December"},0),
        VALUE(MID(TRIM(I313),
          FIND(" ",TRIM(I313))+1,
          FIND(" ",TRIM(I313),FIND(" ",TRIM(I313))+1)-FIND(" ",TRIM(I313))-1))
      )
    )
  ),
"yyyy-mm-dd")</f>
        <v>2023-09-21</v>
      </c>
      <c r="K313" s="5" t="str">
        <f t="shared" si="36"/>
        <v>Sep</v>
      </c>
      <c r="L313">
        <v>1685180672</v>
      </c>
      <c r="M313" s="11">
        <f t="shared" si="37"/>
        <v>45073.405925925923</v>
      </c>
      <c r="O313" s="7">
        <f t="shared" si="38"/>
        <v>0</v>
      </c>
      <c r="P313" t="s">
        <v>46</v>
      </c>
      <c r="Q313" s="7" t="str">
        <f t="shared" si="39"/>
        <v>Corporate account</v>
      </c>
    </row>
    <row r="314" spans="1:17">
      <c r="A314">
        <v>1105</v>
      </c>
      <c r="B314" t="s">
        <v>82</v>
      </c>
      <c r="C314" s="9" t="str">
        <f t="shared" si="32"/>
        <v>Björn Larsson</v>
      </c>
      <c r="D314" s="7" t="str">
        <f t="shared" si="33"/>
        <v>Björn Larsson</v>
      </c>
      <c r="F314" s="7">
        <f t="shared" si="34"/>
        <v>43</v>
      </c>
      <c r="G314" t="s">
        <v>60</v>
      </c>
      <c r="H314" s="7" t="str">
        <f t="shared" si="35"/>
        <v>Egypt</v>
      </c>
      <c r="I314" t="s">
        <v>378</v>
      </c>
      <c r="J314" s="7" t="str">
        <f>TEXT(
  IFERROR(
    DATEVALUE(SUBSTITUTE(SUBSTITUTE(TRIM(I314),"T"," "),"Z","")),
    IFERROR(
      DATE(
        RIGHT(TRIM(I314),4),
        MID(TRIM(I314),4,2),
        LEFT(TRIM(I314),2)
      ),
      DATE(
        VALUE(RIGHT(TRIM(I314),4)),
        MATCH(LEFT(TRIM(I314),FIND(" ",TRIM(I314))-1),
          {"January","February","March","April","May","June","July","August","September","October","November","December"},0),
        VALUE(MID(TRIM(I314),
          FIND(" ",TRIM(I314))+1,
          FIND(" ",TRIM(I314),FIND(" ",TRIM(I314))+1)-FIND(" ",TRIM(I314))-1))
      )
    )
  ),
"yyyy-mm-dd")</f>
        <v>2023-10-21</v>
      </c>
      <c r="K314" s="5" t="str">
        <f t="shared" si="36"/>
        <v>Oct</v>
      </c>
      <c r="L314">
        <v>1684539358</v>
      </c>
      <c r="M314" s="11">
        <f t="shared" si="37"/>
        <v>45065.983310185184</v>
      </c>
      <c r="O314" s="7">
        <f t="shared" si="38"/>
        <v>0</v>
      </c>
      <c r="P314" t="s">
        <v>46</v>
      </c>
      <c r="Q314" s="7" t="str">
        <f t="shared" si="39"/>
        <v>Corporate account</v>
      </c>
    </row>
    <row r="315" spans="1:17">
      <c r="A315">
        <v>1451</v>
      </c>
      <c r="B315" t="s">
        <v>124</v>
      </c>
      <c r="C315" s="9" t="str">
        <f t="shared" si="32"/>
        <v>Sarah Johnson</v>
      </c>
      <c r="D315" s="7" t="str">
        <f t="shared" si="33"/>
        <v>Sarah Johnson</v>
      </c>
      <c r="F315" s="7">
        <f t="shared" si="34"/>
        <v>43</v>
      </c>
      <c r="G315" t="s">
        <v>62</v>
      </c>
      <c r="H315" s="7" t="str">
        <f t="shared" si="35"/>
        <v>Ireland</v>
      </c>
      <c r="I315" t="s">
        <v>379</v>
      </c>
      <c r="J315" s="7" t="str">
        <f>TEXT(
  IFERROR(
    DATEVALUE(SUBSTITUTE(SUBSTITUTE(TRIM(I315),"T"," "),"Z","")),
    IFERROR(
      DATE(
        RIGHT(TRIM(I315),4),
        MID(TRIM(I315),4,2),
        LEFT(TRIM(I315),2)
      ),
      DATE(
        VALUE(RIGHT(TRIM(I315),4)),
        MATCH(LEFT(TRIM(I315),FIND(" ",TRIM(I315))-1),
          {"January","February","March","April","May","June","July","August","September","October","November","December"},0),
        VALUE(MID(TRIM(I315),
          FIND(" ",TRIM(I315))+1,
          FIND(" ",TRIM(I315),FIND(" ",TRIM(I315))+1)-FIND(" ",TRIM(I315))-1))
      )
    )
  ),
"yyyy-mm-dd")</f>
        <v>2023-10-02</v>
      </c>
      <c r="K315" s="5" t="str">
        <f t="shared" si="36"/>
        <v>Oct</v>
      </c>
      <c r="L315">
        <v>1675609180</v>
      </c>
      <c r="M315" s="11">
        <f t="shared" si="37"/>
        <v>44962.624768518523</v>
      </c>
      <c r="N315">
        <v>530.61</v>
      </c>
      <c r="O315" s="7">
        <f t="shared" si="38"/>
        <v>530.61</v>
      </c>
      <c r="P315" t="s">
        <v>84</v>
      </c>
      <c r="Q315" s="7" t="str">
        <f t="shared" si="39"/>
        <v xml:space="preserve">Newsletter subscriber </v>
      </c>
    </row>
    <row r="316" spans="1:17">
      <c r="A316">
        <v>1679</v>
      </c>
      <c r="B316" t="s">
        <v>34</v>
      </c>
      <c r="C316" s="9" t="str">
        <f t="shared" si="32"/>
        <v>Olivia Wilson</v>
      </c>
      <c r="D316" s="7" t="str">
        <f t="shared" si="33"/>
        <v xml:space="preserve"> Olivia Wilson </v>
      </c>
      <c r="F316" s="7">
        <f t="shared" si="34"/>
        <v>43</v>
      </c>
      <c r="G316" t="s">
        <v>62</v>
      </c>
      <c r="H316" s="7" t="str">
        <f t="shared" si="35"/>
        <v>Ireland</v>
      </c>
      <c r="I316" t="s">
        <v>161</v>
      </c>
      <c r="J316" s="7" t="str">
        <f>TEXT(
  IFERROR(
    DATEVALUE(SUBSTITUTE(SUBSTITUTE(TRIM(I316),"T"," "),"Z","")),
    IFERROR(
      DATE(
        RIGHT(TRIM(I316),4),
        MID(TRIM(I316),4,2),
        LEFT(TRIM(I316),2)
      ),
      DATE(
        VALUE(RIGHT(TRIM(I316),4)),
        MATCH(LEFT(TRIM(I316),FIND(" ",TRIM(I316))-1),
          {"January","February","March","April","May","June","July","August","September","October","November","December"},0),
        VALUE(MID(TRIM(I316),
          FIND(" ",TRIM(I316))+1,
          FIND(" ",TRIM(I316),FIND(" ",TRIM(I316))+1)-FIND(" ",TRIM(I316))-1))
      )
    )
  ),
"yyyy-mm-dd")</f>
        <v>2023-11-29</v>
      </c>
      <c r="K316" s="5" t="str">
        <f t="shared" si="36"/>
        <v>Nov</v>
      </c>
      <c r="L316">
        <v>1676373429</v>
      </c>
      <c r="M316" s="11">
        <f t="shared" si="37"/>
        <v>44971.470243055555</v>
      </c>
      <c r="O316" s="7">
        <f t="shared" si="38"/>
        <v>0</v>
      </c>
      <c r="P316" t="s">
        <v>40</v>
      </c>
      <c r="Q316" s="7" t="str">
        <f t="shared" si="39"/>
        <v xml:space="preserve">VIP client </v>
      </c>
    </row>
    <row r="317" spans="1:17">
      <c r="A317">
        <v>1500</v>
      </c>
      <c r="B317" t="s">
        <v>28</v>
      </c>
      <c r="C317" s="9" t="str">
        <f t="shared" si="32"/>
        <v>Maria Lopez</v>
      </c>
      <c r="D317" s="7" t="str">
        <f t="shared" si="33"/>
        <v>Maria Lopez</v>
      </c>
      <c r="E317">
        <v>38</v>
      </c>
      <c r="F317" s="7">
        <f t="shared" si="34"/>
        <v>38</v>
      </c>
      <c r="G317" t="s">
        <v>116</v>
      </c>
      <c r="H317" s="7" t="str">
        <f t="shared" si="35"/>
        <v>China</v>
      </c>
      <c r="I317" t="s">
        <v>380</v>
      </c>
      <c r="J317" s="7" t="str">
        <f>TEXT(
  IFERROR(
    DATEVALUE(SUBSTITUTE(SUBSTITUTE(TRIM(I317),"T"," "),"Z","")),
    IFERROR(
      DATE(
        RIGHT(TRIM(I317),4),
        MID(TRIM(I317),4,2),
        LEFT(TRIM(I317),2)
      ),
      DATE(
        VALUE(RIGHT(TRIM(I317),4)),
        MATCH(LEFT(TRIM(I317),FIND(" ",TRIM(I317))-1),
          {"January","February","March","April","May","June","July","August","September","October","November","December"},0),
        VALUE(MID(TRIM(I317),
          FIND(" ",TRIM(I317))+1,
          FIND(" ",TRIM(I317),FIND(" ",TRIM(I317))+1)-FIND(" ",TRIM(I317))-1))
      )
    )
  ),
"yyyy-mm-dd")</f>
        <v>2023-05-12</v>
      </c>
      <c r="K317" s="5" t="str">
        <f t="shared" si="36"/>
        <v>May</v>
      </c>
      <c r="L317">
        <v>1696816590</v>
      </c>
      <c r="M317" s="11">
        <f t="shared" si="37"/>
        <v>45208.08090277778</v>
      </c>
      <c r="O317" s="7">
        <f t="shared" si="38"/>
        <v>0</v>
      </c>
      <c r="P317" t="s">
        <v>46</v>
      </c>
      <c r="Q317" s="7" t="str">
        <f t="shared" si="39"/>
        <v>Corporate account</v>
      </c>
    </row>
    <row r="318" spans="1:17">
      <c r="A318">
        <v>1432</v>
      </c>
      <c r="B318" t="s">
        <v>101</v>
      </c>
      <c r="C318" s="9" t="str">
        <f t="shared" si="32"/>
        <v>Zoë Kravitz</v>
      </c>
      <c r="D318" s="7" t="str">
        <f t="shared" si="33"/>
        <v>Zoë Kravitz</v>
      </c>
      <c r="F318" s="7">
        <f t="shared" si="34"/>
        <v>43</v>
      </c>
      <c r="G318" t="s">
        <v>18</v>
      </c>
      <c r="H318" s="7" t="str">
        <f t="shared" si="35"/>
        <v>United Kingdom</v>
      </c>
      <c r="I318" t="s">
        <v>381</v>
      </c>
      <c r="J318" s="7" t="str">
        <f>TEXT(
  IFERROR(
    DATEVALUE(SUBSTITUTE(SUBSTITUTE(TRIM(I318),"T"," "),"Z","")),
    IFERROR(
      DATE(
        RIGHT(TRIM(I318),4),
        MID(TRIM(I318),4,2),
        LEFT(TRIM(I318),2)
      ),
      DATE(
        VALUE(RIGHT(TRIM(I318),4)),
        MATCH(LEFT(TRIM(I318),FIND(" ",TRIM(I318))-1),
          {"January","February","March","April","May","June","July","August","September","October","November","December"},0),
        VALUE(MID(TRIM(I318),
          FIND(" ",TRIM(I318))+1,
          FIND(" ",TRIM(I318),FIND(" ",TRIM(I318))+1)-FIND(" ",TRIM(I318))-1))
      )
    )
  ),
"yyyy-mm-dd")</f>
        <v>2023-04-16</v>
      </c>
      <c r="K318" s="5" t="str">
        <f t="shared" si="36"/>
        <v>Apr</v>
      </c>
      <c r="L318">
        <v>1700332190</v>
      </c>
      <c r="M318" s="11">
        <f t="shared" si="37"/>
        <v>45248.77071759259</v>
      </c>
      <c r="O318" s="7">
        <f t="shared" si="38"/>
        <v>0</v>
      </c>
      <c r="P318" t="s">
        <v>52</v>
      </c>
      <c r="Q318" s="7" t="str">
        <f t="shared" si="39"/>
        <v xml:space="preserve">Prefers email </v>
      </c>
    </row>
    <row r="319" spans="1:17">
      <c r="A319">
        <v>1467</v>
      </c>
      <c r="B319" t="s">
        <v>37</v>
      </c>
      <c r="C319" s="9" t="str">
        <f t="shared" si="32"/>
        <v>Akira Tanaka</v>
      </c>
      <c r="D319" s="7" t="str">
        <f t="shared" si="33"/>
        <v>Akira Tanaka</v>
      </c>
      <c r="F319" s="7">
        <f t="shared" si="34"/>
        <v>43</v>
      </c>
      <c r="G319" t="s">
        <v>44</v>
      </c>
      <c r="H319" s="7" t="str">
        <f t="shared" si="35"/>
        <v>UAE</v>
      </c>
      <c r="I319" t="s">
        <v>382</v>
      </c>
      <c r="J319" s="7" t="str">
        <f>TEXT(
  IFERROR(
    DATEVALUE(SUBSTITUTE(SUBSTITUTE(TRIM(I319),"T"," "),"Z","")),
    IFERROR(
      DATE(
        RIGHT(TRIM(I319),4),
        MID(TRIM(I319),4,2),
        LEFT(TRIM(I319),2)
      ),
      DATE(
        VALUE(RIGHT(TRIM(I319),4)),
        MATCH(LEFT(TRIM(I319),FIND(" ",TRIM(I319))-1),
          {"January","February","March","April","May","June","July","August","September","October","November","December"},0),
        VALUE(MID(TRIM(I319),
          FIND(" ",TRIM(I319))+1,
          FIND(" ",TRIM(I319),FIND(" ",TRIM(I319))+1)-FIND(" ",TRIM(I319))-1))
      )
    )
  ),
"yyyy-mm-dd")</f>
        <v>2023-06-11</v>
      </c>
      <c r="K319" s="5" t="str">
        <f t="shared" si="36"/>
        <v>Jun</v>
      </c>
      <c r="L319">
        <v>1685593513</v>
      </c>
      <c r="M319" s="11">
        <f t="shared" si="37"/>
        <v>45078.184178240743</v>
      </c>
      <c r="N319">
        <v>1013.22</v>
      </c>
      <c r="O319" s="7">
        <f t="shared" si="38"/>
        <v>1013.22</v>
      </c>
      <c r="P319" t="s">
        <v>27</v>
      </c>
      <c r="Q319" s="7" t="str">
        <f t="shared" si="39"/>
        <v xml:space="preserve">Holiday signup </v>
      </c>
    </row>
    <row r="320" spans="1:17">
      <c r="A320">
        <v>1178</v>
      </c>
      <c r="B320" t="s">
        <v>107</v>
      </c>
      <c r="C320" s="9" t="str">
        <f t="shared" si="32"/>
        <v>Fatima Ali</v>
      </c>
      <c r="D320" s="7" t="str">
        <f t="shared" si="33"/>
        <v>Fatima Ali</v>
      </c>
      <c r="F320" s="7">
        <f t="shared" si="34"/>
        <v>43</v>
      </c>
      <c r="G320" t="s">
        <v>29</v>
      </c>
      <c r="H320" s="7" t="str">
        <f t="shared" si="35"/>
        <v>United States</v>
      </c>
      <c r="I320" t="s">
        <v>383</v>
      </c>
      <c r="J320" s="7" t="str">
        <f>TEXT(
  IFERROR(
    DATEVALUE(SUBSTITUTE(SUBSTITUTE(TRIM(I320),"T"," "),"Z","")),
    IFERROR(
      DATE(
        RIGHT(TRIM(I320),4),
        MID(TRIM(I320),4,2),
        LEFT(TRIM(I320),2)
      ),
      DATE(
        VALUE(RIGHT(TRIM(I320),4)),
        MATCH(LEFT(TRIM(I320),FIND(" ",TRIM(I320))-1),
          {"January","February","March","April","May","June","July","August","September","October","November","December"},0),
        VALUE(MID(TRIM(I320),
          FIND(" ",TRIM(I320))+1,
          FIND(" ",TRIM(I320),FIND(" ",TRIM(I320))+1)-FIND(" ",TRIM(I320))-1))
      )
    )
  ),
"yyyy-mm-dd")</f>
        <v>2023-08-31</v>
      </c>
      <c r="K320" s="5" t="str">
        <f t="shared" si="36"/>
        <v>Aug</v>
      </c>
      <c r="L320">
        <v>1690424207</v>
      </c>
      <c r="M320" s="11">
        <f t="shared" si="37"/>
        <v>45134.094988425924</v>
      </c>
      <c r="O320" s="7">
        <f t="shared" si="38"/>
        <v>0</v>
      </c>
      <c r="P320" t="s">
        <v>46</v>
      </c>
      <c r="Q320" s="7" t="str">
        <f t="shared" si="39"/>
        <v>Corporate account</v>
      </c>
    </row>
    <row r="321" spans="1:17">
      <c r="A321">
        <v>1605</v>
      </c>
      <c r="B321" t="s">
        <v>114</v>
      </c>
      <c r="C321" s="9" t="str">
        <f t="shared" si="32"/>
        <v>Liam O’Connor</v>
      </c>
      <c r="D321" s="7" t="str">
        <f t="shared" si="33"/>
        <v xml:space="preserve"> Liam O’Connor </v>
      </c>
      <c r="E321">
        <v>64</v>
      </c>
      <c r="F321" s="7">
        <f t="shared" si="34"/>
        <v>64</v>
      </c>
      <c r="G321" t="s">
        <v>122</v>
      </c>
      <c r="H321" s="7" t="str">
        <f t="shared" si="35"/>
        <v>Italy</v>
      </c>
      <c r="I321" t="s">
        <v>384</v>
      </c>
      <c r="J321" s="7" t="str">
        <f>TEXT(
  IFERROR(
    DATEVALUE(SUBSTITUTE(SUBSTITUTE(TRIM(I321),"T"," "),"Z","")),
    IFERROR(
      DATE(
        RIGHT(TRIM(I321),4),
        MID(TRIM(I321),4,2),
        LEFT(TRIM(I321),2)
      ),
      DATE(
        VALUE(RIGHT(TRIM(I321),4)),
        MATCH(LEFT(TRIM(I321),FIND(" ",TRIM(I321))-1),
          {"January","February","March","April","May","June","July","August","September","October","November","December"},0),
        VALUE(MID(TRIM(I321),
          FIND(" ",TRIM(I321))+1,
          FIND(" ",TRIM(I321),FIND(" ",TRIM(I321))+1)-FIND(" ",TRIM(I321))-1))
      )
    )
  ),
"yyyy-mm-dd")</f>
        <v>2023-01-06</v>
      </c>
      <c r="K321" s="5" t="str">
        <f t="shared" si="36"/>
        <v>Jan</v>
      </c>
      <c r="L321">
        <v>1701876307</v>
      </c>
      <c r="M321" s="11">
        <f t="shared" si="37"/>
        <v>45266.642442129625</v>
      </c>
      <c r="N321">
        <v>837.05</v>
      </c>
      <c r="O321" s="7">
        <f t="shared" si="38"/>
        <v>837.05</v>
      </c>
      <c r="P321" t="s">
        <v>20</v>
      </c>
      <c r="Q321" s="7" t="str">
        <f t="shared" si="39"/>
        <v xml:space="preserve">Great customer </v>
      </c>
    </row>
    <row r="322" spans="1:17">
      <c r="A322">
        <v>1011</v>
      </c>
      <c r="B322" t="s">
        <v>166</v>
      </c>
      <c r="C322" s="9" t="str">
        <f t="shared" si="32"/>
        <v>Daniel Kim</v>
      </c>
      <c r="D322" s="7" t="str">
        <f t="shared" si="33"/>
        <v>Daniel Kim</v>
      </c>
      <c r="E322">
        <v>52</v>
      </c>
      <c r="F322" s="7">
        <f t="shared" si="34"/>
        <v>52</v>
      </c>
      <c r="G322" t="s">
        <v>102</v>
      </c>
      <c r="H322" s="7" t="str">
        <f t="shared" si="35"/>
        <v>Mexico</v>
      </c>
      <c r="I322" t="s">
        <v>385</v>
      </c>
      <c r="J322" s="7" t="str">
        <f>TEXT(
  IFERROR(
    DATEVALUE(SUBSTITUTE(SUBSTITUTE(TRIM(I322),"T"," "),"Z","")),
    IFERROR(
      DATE(
        RIGHT(TRIM(I322),4),
        MID(TRIM(I322),4,2),
        LEFT(TRIM(I322),2)
      ),
      DATE(
        VALUE(RIGHT(TRIM(I322),4)),
        MATCH(LEFT(TRIM(I322),FIND(" ",TRIM(I322))-1),
          {"January","February","March","April","May","June","July","August","September","October","November","December"},0),
        VALUE(MID(TRIM(I322),
          FIND(" ",TRIM(I322))+1,
          FIND(" ",TRIM(I322),FIND(" ",TRIM(I322))+1)-FIND(" ",TRIM(I322))-1))
      )
    )
  ),
"yyyy-mm-dd")</f>
        <v>2023-04-18</v>
      </c>
      <c r="K322" s="5" t="str">
        <f t="shared" si="36"/>
        <v>Apr</v>
      </c>
      <c r="L322">
        <v>1679628712</v>
      </c>
      <c r="M322" s="11">
        <f t="shared" si="37"/>
        <v>45009.147129629629</v>
      </c>
      <c r="N322">
        <v>624.86</v>
      </c>
      <c r="O322" s="7">
        <f t="shared" si="38"/>
        <v>624.86</v>
      </c>
      <c r="P322" t="s">
        <v>33</v>
      </c>
      <c r="Q322" s="7" t="str">
        <f t="shared" si="39"/>
        <v>Frequent buyer n</v>
      </c>
    </row>
    <row r="323" spans="1:17">
      <c r="A323">
        <v>1377</v>
      </c>
      <c r="B323" t="s">
        <v>72</v>
      </c>
      <c r="C323" s="9" t="str">
        <f t="shared" ref="C323:C386" si="40">TRIM(B323)</f>
        <v>Emily Davis</v>
      </c>
      <c r="D323" s="7" t="str">
        <f t="shared" ref="D323:D386" si="41">PROPER(B323)</f>
        <v>Emily Davis</v>
      </c>
      <c r="E323">
        <v>34</v>
      </c>
      <c r="F323" s="7">
        <f t="shared" ref="F323:F386" si="42">IF(OR(E323="", ISBLANK(E323)), MEDIAN($E$2:$E$1501), E323)</f>
        <v>34</v>
      </c>
      <c r="G323" t="s">
        <v>48</v>
      </c>
      <c r="H323" s="7" t="str">
        <f t="shared" ref="H323:H386" si="43">TRIM(G323)</f>
        <v>France</v>
      </c>
      <c r="I323" t="s">
        <v>386</v>
      </c>
      <c r="J323" s="7" t="str">
        <f>TEXT(
  IFERROR(
    DATEVALUE(SUBSTITUTE(SUBSTITUTE(TRIM(I323),"T"," "),"Z","")),
    IFERROR(
      DATE(
        RIGHT(TRIM(I323),4),
        MID(TRIM(I323),4,2),
        LEFT(TRIM(I323),2)
      ),
      DATE(
        VALUE(RIGHT(TRIM(I323),4)),
        MATCH(LEFT(TRIM(I323),FIND(" ",TRIM(I323))-1),
          {"January","February","March","April","May","June","July","August","September","October","November","December"},0),
        VALUE(MID(TRIM(I323),
          FIND(" ",TRIM(I323))+1,
          FIND(" ",TRIM(I323),FIND(" ",TRIM(I323))+1)-FIND(" ",TRIM(I323))-1))
      )
    )
  ),
"yyyy-mm-dd")</f>
        <v>2023-12-10</v>
      </c>
      <c r="K323" s="5" t="str">
        <f t="shared" ref="K323:K386" si="44">TEXT(J323,"mmm")</f>
        <v>Dec</v>
      </c>
      <c r="L323">
        <v>1701120802</v>
      </c>
      <c r="M323" s="11">
        <f t="shared" ref="M323:M386" si="45">((L323)/86400)+DATE(1970,1,1)</f>
        <v>45257.8981712963</v>
      </c>
      <c r="O323" s="7">
        <f t="shared" ref="O323:O386" si="46">IF(N323="", 0, N323)</f>
        <v>0</v>
      </c>
      <c r="P323" t="s">
        <v>46</v>
      </c>
      <c r="Q323" s="7" t="str">
        <f t="shared" ref="Q323:Q386" si="47">SUBSTITUTE(SUBSTITUTE(SUBSTITUTE(P323,"$",""),"%",""),"ñ","n")</f>
        <v>Corporate account</v>
      </c>
    </row>
    <row r="324" spans="1:17">
      <c r="A324">
        <v>1584</v>
      </c>
      <c r="B324" t="s">
        <v>78</v>
      </c>
      <c r="C324" s="9" t="str">
        <f t="shared" si="40"/>
        <v>Mia Thompson</v>
      </c>
      <c r="D324" s="7" t="str">
        <f t="shared" si="41"/>
        <v xml:space="preserve"> Mia Thompson </v>
      </c>
      <c r="F324" s="7">
        <f t="shared" si="42"/>
        <v>43</v>
      </c>
      <c r="G324" t="s">
        <v>111</v>
      </c>
      <c r="H324" s="7" t="str">
        <f t="shared" si="43"/>
        <v>South Korea</v>
      </c>
      <c r="I324" t="s">
        <v>387</v>
      </c>
      <c r="J324" s="7" t="str">
        <f>TEXT(
  IFERROR(
    DATEVALUE(SUBSTITUTE(SUBSTITUTE(TRIM(I324),"T"," "),"Z","")),
    IFERROR(
      DATE(
        RIGHT(TRIM(I324),4),
        MID(TRIM(I324),4,2),
        LEFT(TRIM(I324),2)
      ),
      DATE(
        VALUE(RIGHT(TRIM(I324),4)),
        MATCH(LEFT(TRIM(I324),FIND(" ",TRIM(I324))-1),
          {"January","February","March","April","May","June","July","August","September","October","November","December"},0),
        VALUE(MID(TRIM(I324),
          FIND(" ",TRIM(I324))+1,
          FIND(" ",TRIM(I324),FIND(" ",TRIM(I324))+1)-FIND(" ",TRIM(I324))-1))
      )
    )
  ),
"yyyy-mm-dd")</f>
        <v>2023-06-18</v>
      </c>
      <c r="K324" s="5" t="str">
        <f t="shared" si="44"/>
        <v>Jun</v>
      </c>
      <c r="L324">
        <v>1694650539</v>
      </c>
      <c r="M324" s="11">
        <f t="shared" si="45"/>
        <v>45183.010868055557</v>
      </c>
      <c r="N324">
        <v>465.46</v>
      </c>
      <c r="O324" s="7">
        <f t="shared" si="46"/>
        <v>465.46</v>
      </c>
      <c r="P324" t="s">
        <v>27</v>
      </c>
      <c r="Q324" s="7" t="str">
        <f t="shared" si="47"/>
        <v xml:space="preserve">Holiday signup </v>
      </c>
    </row>
    <row r="325" spans="1:17">
      <c r="A325">
        <v>2161</v>
      </c>
      <c r="B325" t="s">
        <v>90</v>
      </c>
      <c r="C325" s="9" t="str">
        <f t="shared" si="40"/>
        <v>Olivia Wilson</v>
      </c>
      <c r="D325" s="7" t="str">
        <f t="shared" si="41"/>
        <v>Olivia Wilson</v>
      </c>
      <c r="E325">
        <v>45</v>
      </c>
      <c r="F325" s="7">
        <f t="shared" si="42"/>
        <v>45</v>
      </c>
      <c r="G325" t="s">
        <v>25</v>
      </c>
      <c r="H325" s="7" t="str">
        <f t="shared" si="43"/>
        <v>Japan</v>
      </c>
      <c r="I325" t="s">
        <v>388</v>
      </c>
      <c r="J325" s="7" t="str">
        <f>TEXT(
  IFERROR(
    DATEVALUE(SUBSTITUTE(SUBSTITUTE(TRIM(I325),"T"," "),"Z","")),
    IFERROR(
      DATE(
        RIGHT(TRIM(I325),4),
        MID(TRIM(I325),4,2),
        LEFT(TRIM(I325),2)
      ),
      DATE(
        VALUE(RIGHT(TRIM(I325),4)),
        MATCH(LEFT(TRIM(I325),FIND(" ",TRIM(I325))-1),
          {"January","February","March","April","May","June","July","August","September","October","November","December"},0),
        VALUE(MID(TRIM(I325),
          FIND(" ",TRIM(I325))+1,
          FIND(" ",TRIM(I325),FIND(" ",TRIM(I325))+1)-FIND(" ",TRIM(I325))-1))
      )
    )
  ),
"yyyy-mm-dd")</f>
        <v>2023-05-07</v>
      </c>
      <c r="K325" s="5" t="str">
        <f t="shared" si="44"/>
        <v>May</v>
      </c>
      <c r="L325">
        <v>1696421437</v>
      </c>
      <c r="M325" s="11">
        <f t="shared" si="45"/>
        <v>45203.507372685184</v>
      </c>
      <c r="O325" s="7">
        <f t="shared" si="46"/>
        <v>0</v>
      </c>
      <c r="P325" t="s">
        <v>58</v>
      </c>
      <c r="Q325" s="7" t="str">
        <f t="shared" si="47"/>
        <v>Student account</v>
      </c>
    </row>
    <row r="326" spans="1:17">
      <c r="A326">
        <v>1737</v>
      </c>
      <c r="B326" t="s">
        <v>56</v>
      </c>
      <c r="C326" s="9" t="str">
        <f t="shared" si="40"/>
        <v>Carlos García</v>
      </c>
      <c r="D326" s="7" t="str">
        <f t="shared" si="41"/>
        <v>Carlos García</v>
      </c>
      <c r="F326" s="7">
        <f t="shared" si="42"/>
        <v>43</v>
      </c>
      <c r="G326" t="s">
        <v>111</v>
      </c>
      <c r="H326" s="7" t="str">
        <f t="shared" si="43"/>
        <v>South Korea</v>
      </c>
      <c r="I326" t="s">
        <v>389</v>
      </c>
      <c r="J326" s="7" t="str">
        <f>TEXT(
  IFERROR(
    DATEVALUE(SUBSTITUTE(SUBSTITUTE(TRIM(I326),"T"," "),"Z","")),
    IFERROR(
      DATE(
        RIGHT(TRIM(I326),4),
        MID(TRIM(I326),4,2),
        LEFT(TRIM(I326),2)
      ),
      DATE(
        VALUE(RIGHT(TRIM(I326),4)),
        MATCH(LEFT(TRIM(I326),FIND(" ",TRIM(I326))-1),
          {"January","February","March","April","May","June","July","August","September","October","November","December"},0),
        VALUE(MID(TRIM(I326),
          FIND(" ",TRIM(I326))+1,
          FIND(" ",TRIM(I326),FIND(" ",TRIM(I326))+1)-FIND(" ",TRIM(I326))-1))
      )
    )
  ),
"yyyy-mm-dd")</f>
        <v>2023-03-07</v>
      </c>
      <c r="K326" s="5" t="str">
        <f t="shared" si="44"/>
        <v>Mar</v>
      </c>
      <c r="L326">
        <v>1688864048</v>
      </c>
      <c r="M326" s="11">
        <f t="shared" si="45"/>
        <v>45116.037592592591</v>
      </c>
      <c r="N326">
        <v>831.99</v>
      </c>
      <c r="O326" s="7">
        <f t="shared" si="46"/>
        <v>831.99</v>
      </c>
      <c r="P326" t="s">
        <v>27</v>
      </c>
      <c r="Q326" s="7" t="str">
        <f t="shared" si="47"/>
        <v xml:space="preserve">Holiday signup </v>
      </c>
    </row>
    <row r="327" spans="1:17">
      <c r="A327">
        <v>1064</v>
      </c>
      <c r="B327" t="s">
        <v>166</v>
      </c>
      <c r="C327" s="9" t="str">
        <f t="shared" si="40"/>
        <v>Daniel Kim</v>
      </c>
      <c r="D327" s="7" t="str">
        <f t="shared" si="41"/>
        <v>Daniel Kim</v>
      </c>
      <c r="E327">
        <v>55</v>
      </c>
      <c r="F327" s="7">
        <f t="shared" si="42"/>
        <v>55</v>
      </c>
      <c r="G327" t="s">
        <v>62</v>
      </c>
      <c r="H327" s="7" t="str">
        <f t="shared" si="43"/>
        <v>Ireland</v>
      </c>
      <c r="I327" t="s">
        <v>390</v>
      </c>
      <c r="J327" s="7" t="str">
        <f>TEXT(
  IFERROR(
    DATEVALUE(SUBSTITUTE(SUBSTITUTE(TRIM(I327),"T"," "),"Z","")),
    IFERROR(
      DATE(
        RIGHT(TRIM(I327),4),
        MID(TRIM(I327),4,2),
        LEFT(TRIM(I327),2)
      ),
      DATE(
        VALUE(RIGHT(TRIM(I327),4)),
        MATCH(LEFT(TRIM(I327),FIND(" ",TRIM(I327))-1),
          {"January","February","March","April","May","June","July","August","September","October","November","December"},0),
        VALUE(MID(TRIM(I327),
          FIND(" ",TRIM(I327))+1,
          FIND(" ",TRIM(I327),FIND(" ",TRIM(I327))+1)-FIND(" ",TRIM(I327))-1))
      )
    )
  ),
"yyyy-mm-dd")</f>
        <v>2023-05-14</v>
      </c>
      <c r="K327" s="5" t="str">
        <f t="shared" si="44"/>
        <v>May</v>
      </c>
      <c r="L327">
        <v>1702521190</v>
      </c>
      <c r="M327" s="11">
        <f t="shared" si="45"/>
        <v>45274.106365740736</v>
      </c>
      <c r="O327" s="7">
        <f t="shared" si="46"/>
        <v>0</v>
      </c>
      <c r="P327" t="s">
        <v>33</v>
      </c>
      <c r="Q327" s="7" t="str">
        <f t="shared" si="47"/>
        <v>Frequent buyer n</v>
      </c>
    </row>
    <row r="328" spans="1:17">
      <c r="A328">
        <v>1750</v>
      </c>
      <c r="B328" t="s">
        <v>198</v>
      </c>
      <c r="C328" s="9" t="str">
        <f t="shared" si="40"/>
        <v>Noah Martin</v>
      </c>
      <c r="D328" s="7" t="str">
        <f t="shared" si="41"/>
        <v xml:space="preserve"> Noah Martin </v>
      </c>
      <c r="F328" s="7">
        <f t="shared" si="42"/>
        <v>43</v>
      </c>
      <c r="G328" t="s">
        <v>18</v>
      </c>
      <c r="H328" s="7" t="str">
        <f t="shared" si="43"/>
        <v>United Kingdom</v>
      </c>
      <c r="I328" t="s">
        <v>201</v>
      </c>
      <c r="J328" s="7" t="str">
        <f>TEXT(
  IFERROR(
    DATEVALUE(SUBSTITUTE(SUBSTITUTE(TRIM(I328),"T"," "),"Z","")),
    IFERROR(
      DATE(
        RIGHT(TRIM(I328),4),
        MID(TRIM(I328),4,2),
        LEFT(TRIM(I328),2)
      ),
      DATE(
        VALUE(RIGHT(TRIM(I328),4)),
        MATCH(LEFT(TRIM(I328),FIND(" ",TRIM(I328))-1),
          {"January","February","March","April","May","June","July","August","September","October","November","December"},0),
        VALUE(MID(TRIM(I328),
          FIND(" ",TRIM(I328))+1,
          FIND(" ",TRIM(I328),FIND(" ",TRIM(I328))+1)-FIND(" ",TRIM(I328))-1))
      )
    )
  ),
"yyyy-mm-dd")</f>
        <v>2023-08-26</v>
      </c>
      <c r="K328" s="5" t="str">
        <f t="shared" si="44"/>
        <v>Aug</v>
      </c>
      <c r="L328">
        <v>1689650584</v>
      </c>
      <c r="M328" s="11">
        <f t="shared" si="45"/>
        <v>45125.141018518523</v>
      </c>
      <c r="O328" s="7">
        <f t="shared" si="46"/>
        <v>0</v>
      </c>
      <c r="P328" t="s">
        <v>46</v>
      </c>
      <c r="Q328" s="7" t="str">
        <f t="shared" si="47"/>
        <v>Corporate account</v>
      </c>
    </row>
    <row r="329" spans="1:17">
      <c r="A329">
        <v>1022</v>
      </c>
      <c r="B329" t="s">
        <v>92</v>
      </c>
      <c r="C329" s="9" t="str">
        <f t="shared" si="40"/>
        <v>Zoë Kravitz</v>
      </c>
      <c r="D329" s="7" t="str">
        <f t="shared" si="41"/>
        <v xml:space="preserve"> Zoë Kravitz </v>
      </c>
      <c r="E329">
        <v>57</v>
      </c>
      <c r="F329" s="7">
        <f t="shared" si="42"/>
        <v>57</v>
      </c>
      <c r="G329" t="s">
        <v>67</v>
      </c>
      <c r="H329" s="7" t="str">
        <f t="shared" si="43"/>
        <v>Sweden</v>
      </c>
      <c r="I329" t="s">
        <v>391</v>
      </c>
      <c r="J329" s="7" t="str">
        <f>TEXT(
  IFERROR(
    DATEVALUE(SUBSTITUTE(SUBSTITUTE(TRIM(I329),"T"," "),"Z","")),
    IFERROR(
      DATE(
        RIGHT(TRIM(I329),4),
        MID(TRIM(I329),4,2),
        LEFT(TRIM(I329),2)
      ),
      DATE(
        VALUE(RIGHT(TRIM(I329),4)),
        MATCH(LEFT(TRIM(I329),FIND(" ",TRIM(I329))-1),
          {"January","February","March","April","May","June","July","August","September","October","November","December"},0),
        VALUE(MID(TRIM(I329),
          FIND(" ",TRIM(I329))+1,
          FIND(" ",TRIM(I329),FIND(" ",TRIM(I329))+1)-FIND(" ",TRIM(I329))-1))
      )
    )
  ),
"yyyy-mm-dd")</f>
        <v>2023-03-13</v>
      </c>
      <c r="K329" s="5" t="str">
        <f t="shared" si="44"/>
        <v>Mar</v>
      </c>
      <c r="L329">
        <v>1677866617</v>
      </c>
      <c r="M329" s="11">
        <f t="shared" si="45"/>
        <v>44988.752511574072</v>
      </c>
      <c r="N329">
        <v>276.93</v>
      </c>
      <c r="O329" s="7">
        <f t="shared" si="46"/>
        <v>276.93</v>
      </c>
      <c r="P329" t="s">
        <v>36</v>
      </c>
      <c r="Q329" s="7" t="str">
        <f t="shared" si="47"/>
        <v>Regular shopper</v>
      </c>
    </row>
    <row r="330" spans="1:17">
      <c r="A330">
        <v>1735</v>
      </c>
      <c r="B330" t="s">
        <v>59</v>
      </c>
      <c r="C330" s="9" t="str">
        <f t="shared" si="40"/>
        <v>Maria Lopez</v>
      </c>
      <c r="D330" s="7" t="str">
        <f t="shared" si="41"/>
        <v xml:space="preserve"> Maria Lopez </v>
      </c>
      <c r="E330">
        <v>49</v>
      </c>
      <c r="F330" s="7">
        <f t="shared" si="42"/>
        <v>49</v>
      </c>
      <c r="G330" t="s">
        <v>54</v>
      </c>
      <c r="H330" s="7" t="str">
        <f t="shared" si="43"/>
        <v>Brazil</v>
      </c>
      <c r="I330" t="s">
        <v>392</v>
      </c>
      <c r="J330" s="7" t="str">
        <f>TEXT(
  IFERROR(
    DATEVALUE(SUBSTITUTE(SUBSTITUTE(TRIM(I330),"T"," "),"Z","")),
    IFERROR(
      DATE(
        RIGHT(TRIM(I330),4),
        MID(TRIM(I330),4,2),
        LEFT(TRIM(I330),2)
      ),
      DATE(
        VALUE(RIGHT(TRIM(I330),4)),
        MATCH(LEFT(TRIM(I330),FIND(" ",TRIM(I330))-1),
          {"January","February","March","April","May","June","July","August","September","October","November","December"},0),
        VALUE(MID(TRIM(I330),
          FIND(" ",TRIM(I330))+1,
          FIND(" ",TRIM(I330),FIND(" ",TRIM(I330))+1)-FIND(" ",TRIM(I330))-1))
      )
    )
  ),
"yyyy-mm-dd")</f>
        <v>2023-07-09</v>
      </c>
      <c r="K330" s="5" t="str">
        <f t="shared" si="44"/>
        <v>Jul</v>
      </c>
      <c r="L330">
        <v>1673960412</v>
      </c>
      <c r="M330" s="11">
        <f t="shared" si="45"/>
        <v>44943.541805555556</v>
      </c>
      <c r="O330" s="7">
        <f t="shared" si="46"/>
        <v>0</v>
      </c>
      <c r="P330" t="s">
        <v>118</v>
      </c>
      <c r="Q330" s="7" t="str">
        <f t="shared" si="47"/>
        <v>High engagement</v>
      </c>
    </row>
    <row r="331" spans="1:17">
      <c r="A331">
        <v>1962</v>
      </c>
      <c r="B331" t="s">
        <v>210</v>
      </c>
      <c r="C331" s="9" t="str">
        <f t="shared" si="40"/>
        <v>Ethan Clark</v>
      </c>
      <c r="D331" s="7" t="str">
        <f t="shared" si="41"/>
        <v>Ethan Clark</v>
      </c>
      <c r="F331" s="7">
        <f t="shared" si="42"/>
        <v>43</v>
      </c>
      <c r="G331" t="s">
        <v>18</v>
      </c>
      <c r="H331" s="7" t="str">
        <f t="shared" si="43"/>
        <v>United Kingdom</v>
      </c>
      <c r="I331" t="s">
        <v>393</v>
      </c>
      <c r="J331" s="7" t="str">
        <f>TEXT(
  IFERROR(
    DATEVALUE(SUBSTITUTE(SUBSTITUTE(TRIM(I331),"T"," "),"Z","")),
    IFERROR(
      DATE(
        RIGHT(TRIM(I331),4),
        MID(TRIM(I331),4,2),
        LEFT(TRIM(I331),2)
      ),
      DATE(
        VALUE(RIGHT(TRIM(I331),4)),
        MATCH(LEFT(TRIM(I331),FIND(" ",TRIM(I331))-1),
          {"January","February","March","April","May","June","July","August","September","October","November","December"},0),
        VALUE(MID(TRIM(I331),
          FIND(" ",TRIM(I331))+1,
          FIND(" ",TRIM(I331),FIND(" ",TRIM(I331))+1)-FIND(" ",TRIM(I331))-1))
      )
    )
  ),
"yyyy-mm-dd")</f>
        <v>2023-12-27</v>
      </c>
      <c r="K331" s="5" t="str">
        <f t="shared" si="44"/>
        <v>Dec</v>
      </c>
      <c r="L331">
        <v>1693782980</v>
      </c>
      <c r="M331" s="11">
        <f t="shared" si="45"/>
        <v>45172.969675925924</v>
      </c>
      <c r="O331" s="7">
        <f t="shared" si="46"/>
        <v>0</v>
      </c>
      <c r="P331" t="s">
        <v>27</v>
      </c>
      <c r="Q331" s="7" t="str">
        <f t="shared" si="47"/>
        <v xml:space="preserve">Holiday signup </v>
      </c>
    </row>
    <row r="332" spans="1:17">
      <c r="A332">
        <v>1832</v>
      </c>
      <c r="B332" t="s">
        <v>90</v>
      </c>
      <c r="C332" s="9" t="str">
        <f t="shared" si="40"/>
        <v>Olivia Wilson</v>
      </c>
      <c r="D332" s="7" t="str">
        <f t="shared" si="41"/>
        <v>Olivia Wilson</v>
      </c>
      <c r="F332" s="7">
        <f t="shared" si="42"/>
        <v>43</v>
      </c>
      <c r="G332" t="s">
        <v>29</v>
      </c>
      <c r="H332" s="7" t="str">
        <f t="shared" si="43"/>
        <v>United States</v>
      </c>
      <c r="I332" t="s">
        <v>55</v>
      </c>
      <c r="J332" s="7" t="str">
        <f>TEXT(
  IFERROR(
    DATEVALUE(SUBSTITUTE(SUBSTITUTE(TRIM(I332),"T"," "),"Z","")),
    IFERROR(
      DATE(
        RIGHT(TRIM(I332),4),
        MID(TRIM(I332),4,2),
        LEFT(TRIM(I332),2)
      ),
      DATE(
        VALUE(RIGHT(TRIM(I332),4)),
        MATCH(LEFT(TRIM(I332),FIND(" ",TRIM(I332))-1),
          {"January","February","March","April","May","June","July","August","September","October","November","December"},0),
        VALUE(MID(TRIM(I332),
          FIND(" ",TRIM(I332))+1,
          FIND(" ",TRIM(I332),FIND(" ",TRIM(I332))+1)-FIND(" ",TRIM(I332))-1))
      )
    )
  ),
"yyyy-mm-dd")</f>
        <v>2023-09-14</v>
      </c>
      <c r="K332" s="5" t="str">
        <f t="shared" si="44"/>
        <v>Sep</v>
      </c>
      <c r="L332">
        <v>1687284551</v>
      </c>
      <c r="M332" s="11">
        <f t="shared" si="45"/>
        <v>45097.756377314814</v>
      </c>
      <c r="N332">
        <v>256.75</v>
      </c>
      <c r="O332" s="7">
        <f t="shared" si="46"/>
        <v>256.75</v>
      </c>
      <c r="P332" t="s">
        <v>46</v>
      </c>
      <c r="Q332" s="7" t="str">
        <f t="shared" si="47"/>
        <v>Corporate account</v>
      </c>
    </row>
    <row r="333" spans="1:17">
      <c r="A333">
        <v>1576</v>
      </c>
      <c r="B333" t="s">
        <v>21</v>
      </c>
      <c r="C333" s="9" t="str">
        <f t="shared" si="40"/>
        <v>David Brown</v>
      </c>
      <c r="D333" s="7" t="str">
        <f t="shared" si="41"/>
        <v xml:space="preserve"> David Brown </v>
      </c>
      <c r="E333">
        <v>41</v>
      </c>
      <c r="F333" s="7">
        <f t="shared" si="42"/>
        <v>41</v>
      </c>
      <c r="G333" t="s">
        <v>18</v>
      </c>
      <c r="H333" s="7" t="str">
        <f t="shared" si="43"/>
        <v>United Kingdom</v>
      </c>
      <c r="I333" t="s">
        <v>394</v>
      </c>
      <c r="J333" s="7" t="str">
        <f>TEXT(
  IFERROR(
    DATEVALUE(SUBSTITUTE(SUBSTITUTE(TRIM(I333),"T"," "),"Z","")),
    IFERROR(
      DATE(
        RIGHT(TRIM(I333),4),
        MID(TRIM(I333),4,2),
        LEFT(TRIM(I333),2)
      ),
      DATE(
        VALUE(RIGHT(TRIM(I333),4)),
        MATCH(LEFT(TRIM(I333),FIND(" ",TRIM(I333))-1),
          {"January","February","March","April","May","June","July","August","September","October","November","December"},0),
        VALUE(MID(TRIM(I333),
          FIND(" ",TRIM(I333))+1,
          FIND(" ",TRIM(I333),FIND(" ",TRIM(I333))+1)-FIND(" ",TRIM(I333))-1))
      )
    )
  ),
"yyyy-mm-dd")</f>
        <v>2023-12-05</v>
      </c>
      <c r="K333" s="5" t="str">
        <f t="shared" si="44"/>
        <v>Dec</v>
      </c>
      <c r="L333">
        <v>1686436126</v>
      </c>
      <c r="M333" s="11">
        <f t="shared" si="45"/>
        <v>45087.936643518522</v>
      </c>
      <c r="N333">
        <v>1218.6500000000001</v>
      </c>
      <c r="O333" s="7">
        <f t="shared" si="46"/>
        <v>1218.6500000000001</v>
      </c>
      <c r="P333" t="s">
        <v>36</v>
      </c>
      <c r="Q333" s="7" t="str">
        <f t="shared" si="47"/>
        <v>Regular shopper</v>
      </c>
    </row>
    <row r="334" spans="1:17">
      <c r="A334">
        <v>2050</v>
      </c>
      <c r="B334" t="s">
        <v>28</v>
      </c>
      <c r="C334" s="9" t="str">
        <f t="shared" si="40"/>
        <v>Maria Lopez</v>
      </c>
      <c r="D334" s="7" t="str">
        <f t="shared" si="41"/>
        <v>Maria Lopez</v>
      </c>
      <c r="E334">
        <v>27</v>
      </c>
      <c r="F334" s="7">
        <f t="shared" si="42"/>
        <v>27</v>
      </c>
      <c r="G334" t="s">
        <v>54</v>
      </c>
      <c r="H334" s="7" t="str">
        <f t="shared" si="43"/>
        <v>Brazil</v>
      </c>
      <c r="I334" t="s">
        <v>395</v>
      </c>
      <c r="J334" s="7" t="str">
        <f>TEXT(
  IFERROR(
    DATEVALUE(SUBSTITUTE(SUBSTITUTE(TRIM(I334),"T"," "),"Z","")),
    IFERROR(
      DATE(
        RIGHT(TRIM(I334),4),
        MID(TRIM(I334),4,2),
        LEFT(TRIM(I334),2)
      ),
      DATE(
        VALUE(RIGHT(TRIM(I334),4)),
        MATCH(LEFT(TRIM(I334),FIND(" ",TRIM(I334))-1),
          {"January","February","March","April","May","June","July","August","September","October","November","December"},0),
        VALUE(MID(TRIM(I334),
          FIND(" ",TRIM(I334))+1,
          FIND(" ",TRIM(I334),FIND(" ",TRIM(I334))+1)-FIND(" ",TRIM(I334))-1))
      )
    )
  ),
"yyyy-mm-dd")</f>
        <v>2023-04-03</v>
      </c>
      <c r="K334" s="5" t="str">
        <f t="shared" si="44"/>
        <v>Apr</v>
      </c>
      <c r="L334">
        <v>1686128856</v>
      </c>
      <c r="M334" s="11">
        <f t="shared" si="45"/>
        <v>45084.380277777775</v>
      </c>
      <c r="N334">
        <v>903.04</v>
      </c>
      <c r="O334" s="7">
        <f t="shared" si="46"/>
        <v>903.04</v>
      </c>
      <c r="P334" t="s">
        <v>58</v>
      </c>
      <c r="Q334" s="7" t="str">
        <f t="shared" si="47"/>
        <v>Student account</v>
      </c>
    </row>
    <row r="335" spans="1:17">
      <c r="A335">
        <v>1176</v>
      </c>
      <c r="B335" t="s">
        <v>104</v>
      </c>
      <c r="C335" s="9" t="str">
        <f t="shared" si="40"/>
        <v>David Brown</v>
      </c>
      <c r="D335" s="7" t="str">
        <f t="shared" si="41"/>
        <v>David Brown</v>
      </c>
      <c r="E335">
        <v>48</v>
      </c>
      <c r="F335" s="7">
        <f t="shared" si="42"/>
        <v>48</v>
      </c>
      <c r="G335" t="s">
        <v>38</v>
      </c>
      <c r="H335" s="7" t="str">
        <f t="shared" si="43"/>
        <v>Spain</v>
      </c>
      <c r="I335" t="s">
        <v>245</v>
      </c>
      <c r="J335" s="7" t="str">
        <f>TEXT(
  IFERROR(
    DATEVALUE(SUBSTITUTE(SUBSTITUTE(TRIM(I335),"T"," "),"Z","")),
    IFERROR(
      DATE(
        RIGHT(TRIM(I335),4),
        MID(TRIM(I335),4,2),
        LEFT(TRIM(I335),2)
      ),
      DATE(
        VALUE(RIGHT(TRIM(I335),4)),
        MATCH(LEFT(TRIM(I335),FIND(" ",TRIM(I335))-1),
          {"January","February","March","April","May","June","July","August","September","October","November","December"},0),
        VALUE(MID(TRIM(I335),
          FIND(" ",TRIM(I335))+1,
          FIND(" ",TRIM(I335),FIND(" ",TRIM(I335))+1)-FIND(" ",TRIM(I335))-1))
      )
    )
  ),
"yyyy-mm-dd")</f>
        <v>2023-07-30</v>
      </c>
      <c r="K335" s="5" t="str">
        <f t="shared" si="44"/>
        <v>Jul</v>
      </c>
      <c r="L335">
        <v>1677312624</v>
      </c>
      <c r="M335" s="11">
        <f t="shared" si="45"/>
        <v>44982.340555555551</v>
      </c>
      <c r="N335">
        <v>1193.98</v>
      </c>
      <c r="O335" s="7">
        <f t="shared" si="46"/>
        <v>1193.98</v>
      </c>
      <c r="P335" t="s">
        <v>27</v>
      </c>
      <c r="Q335" s="7" t="str">
        <f t="shared" si="47"/>
        <v xml:space="preserve">Holiday signup </v>
      </c>
    </row>
    <row r="336" spans="1:17">
      <c r="A336">
        <v>2047</v>
      </c>
      <c r="B336" t="s">
        <v>85</v>
      </c>
      <c r="C336" s="9" t="str">
        <f t="shared" si="40"/>
        <v>Akira Tanaka</v>
      </c>
      <c r="D336" s="7" t="str">
        <f t="shared" si="41"/>
        <v xml:space="preserve"> Akira Tanaka </v>
      </c>
      <c r="F336" s="7">
        <f t="shared" si="42"/>
        <v>43</v>
      </c>
      <c r="G336" t="s">
        <v>29</v>
      </c>
      <c r="H336" s="7" t="str">
        <f t="shared" si="43"/>
        <v>United States</v>
      </c>
      <c r="I336" t="s">
        <v>396</v>
      </c>
      <c r="J336" s="7" t="str">
        <f>TEXT(
  IFERROR(
    DATEVALUE(SUBSTITUTE(SUBSTITUTE(TRIM(I336),"T"," "),"Z","")),
    IFERROR(
      DATE(
        RIGHT(TRIM(I336),4),
        MID(TRIM(I336),4,2),
        LEFT(TRIM(I336),2)
      ),
      DATE(
        VALUE(RIGHT(TRIM(I336),4)),
        MATCH(LEFT(TRIM(I336),FIND(" ",TRIM(I336))-1),
          {"January","February","March","April","May","June","July","August","September","October","November","December"},0),
        VALUE(MID(TRIM(I336),
          FIND(" ",TRIM(I336))+1,
          FIND(" ",TRIM(I336),FIND(" ",TRIM(I336))+1)-FIND(" ",TRIM(I336))-1))
      )
    )
  ),
"yyyy-mm-dd")</f>
        <v>2023-04-28</v>
      </c>
      <c r="K336" s="5" t="str">
        <f t="shared" si="44"/>
        <v>Apr</v>
      </c>
      <c r="L336">
        <v>1685457954</v>
      </c>
      <c r="M336" s="11">
        <f t="shared" si="45"/>
        <v>45076.615208333329</v>
      </c>
      <c r="N336">
        <v>207</v>
      </c>
      <c r="O336" s="7">
        <f t="shared" si="46"/>
        <v>207</v>
      </c>
      <c r="P336" t="s">
        <v>40</v>
      </c>
      <c r="Q336" s="7" t="str">
        <f t="shared" si="47"/>
        <v xml:space="preserve">VIP client </v>
      </c>
    </row>
    <row r="337" spans="1:17">
      <c r="A337">
        <v>1581</v>
      </c>
      <c r="B337" t="s">
        <v>183</v>
      </c>
      <c r="C337" s="9" t="str">
        <f t="shared" si="40"/>
        <v>Mia Thompson</v>
      </c>
      <c r="D337" s="7" t="str">
        <f t="shared" si="41"/>
        <v>Mia Thompson</v>
      </c>
      <c r="E337">
        <v>44</v>
      </c>
      <c r="F337" s="7">
        <f t="shared" si="42"/>
        <v>44</v>
      </c>
      <c r="G337" t="s">
        <v>29</v>
      </c>
      <c r="H337" s="7" t="str">
        <f t="shared" si="43"/>
        <v>United States</v>
      </c>
      <c r="I337" t="s">
        <v>397</v>
      </c>
      <c r="J337" s="7" t="str">
        <f>TEXT(
  IFERROR(
    DATEVALUE(SUBSTITUTE(SUBSTITUTE(TRIM(I337),"T"," "),"Z","")),
    IFERROR(
      DATE(
        RIGHT(TRIM(I337),4),
        MID(TRIM(I337),4,2),
        LEFT(TRIM(I337),2)
      ),
      DATE(
        VALUE(RIGHT(TRIM(I337),4)),
        MATCH(LEFT(TRIM(I337),FIND(" ",TRIM(I337))-1),
          {"January","February","March","April","May","June","July","August","September","October","November","December"},0),
        VALUE(MID(TRIM(I337),
          FIND(" ",TRIM(I337))+1,
          FIND(" ",TRIM(I337),FIND(" ",TRIM(I337))+1)-FIND(" ",TRIM(I337))-1))
      )
    )
  ),
"yyyy-mm-dd")</f>
        <v>2023-12-30</v>
      </c>
      <c r="K337" s="5" t="str">
        <f t="shared" si="44"/>
        <v>Dec</v>
      </c>
      <c r="L337">
        <v>1691918030</v>
      </c>
      <c r="M337" s="11">
        <f t="shared" si="45"/>
        <v>45151.384606481486</v>
      </c>
      <c r="N337">
        <v>788.59</v>
      </c>
      <c r="O337" s="7">
        <f t="shared" si="46"/>
        <v>788.59</v>
      </c>
      <c r="P337" t="s">
        <v>118</v>
      </c>
      <c r="Q337" s="7" t="str">
        <f t="shared" si="47"/>
        <v>High engagement</v>
      </c>
    </row>
    <row r="338" spans="1:17">
      <c r="A338">
        <v>1421</v>
      </c>
      <c r="B338" t="s">
        <v>24</v>
      </c>
      <c r="C338" s="9" t="str">
        <f t="shared" si="40"/>
        <v>Renée Dupont</v>
      </c>
      <c r="D338" s="7" t="str">
        <f t="shared" si="41"/>
        <v>Renée Dupont</v>
      </c>
      <c r="E338">
        <v>44</v>
      </c>
      <c r="F338" s="7">
        <f t="shared" si="42"/>
        <v>44</v>
      </c>
      <c r="G338" t="s">
        <v>18</v>
      </c>
      <c r="H338" s="7" t="str">
        <f t="shared" si="43"/>
        <v>United Kingdom</v>
      </c>
      <c r="I338" t="s">
        <v>398</v>
      </c>
      <c r="J338" s="7" t="str">
        <f>TEXT(
  IFERROR(
    DATEVALUE(SUBSTITUTE(SUBSTITUTE(TRIM(I338),"T"," "),"Z","")),
    IFERROR(
      DATE(
        RIGHT(TRIM(I338),4),
        MID(TRIM(I338),4,2),
        LEFT(TRIM(I338),2)
      ),
      DATE(
        VALUE(RIGHT(TRIM(I338),4)),
        MATCH(LEFT(TRIM(I338),FIND(" ",TRIM(I338))-1),
          {"January","February","March","April","May","June","July","August","September","October","November","December"},0),
        VALUE(MID(TRIM(I338),
          FIND(" ",TRIM(I338))+1,
          FIND(" ",TRIM(I338),FIND(" ",TRIM(I338))+1)-FIND(" ",TRIM(I338))-1))
      )
    )
  ),
"yyyy-mm-dd")</f>
        <v>2023-08-07</v>
      </c>
      <c r="K338" s="5" t="str">
        <f t="shared" si="44"/>
        <v>Aug</v>
      </c>
      <c r="L338">
        <v>1681034502</v>
      </c>
      <c r="M338" s="11">
        <f t="shared" si="45"/>
        <v>45025.417847222227</v>
      </c>
      <c r="O338" s="7">
        <f t="shared" si="46"/>
        <v>0</v>
      </c>
      <c r="P338" t="s">
        <v>27</v>
      </c>
      <c r="Q338" s="7" t="str">
        <f t="shared" si="47"/>
        <v xml:space="preserve">Holiday signup </v>
      </c>
    </row>
    <row r="339" spans="1:17">
      <c r="A339">
        <v>1749</v>
      </c>
      <c r="B339" t="s">
        <v>78</v>
      </c>
      <c r="C339" s="9" t="str">
        <f t="shared" si="40"/>
        <v>Mia Thompson</v>
      </c>
      <c r="D339" s="7" t="str">
        <f t="shared" si="41"/>
        <v xml:space="preserve"> Mia Thompson </v>
      </c>
      <c r="E339">
        <v>61</v>
      </c>
      <c r="F339" s="7">
        <f t="shared" si="42"/>
        <v>61</v>
      </c>
      <c r="G339" t="s">
        <v>44</v>
      </c>
      <c r="H339" s="7" t="str">
        <f t="shared" si="43"/>
        <v>UAE</v>
      </c>
      <c r="I339" t="s">
        <v>399</v>
      </c>
      <c r="J339" s="7" t="str">
        <f>TEXT(
  IFERROR(
    DATEVALUE(SUBSTITUTE(SUBSTITUTE(TRIM(I339),"T"," "),"Z","")),
    IFERROR(
      DATE(
        RIGHT(TRIM(I339),4),
        MID(TRIM(I339),4,2),
        LEFT(TRIM(I339),2)
      ),
      DATE(
        VALUE(RIGHT(TRIM(I339),4)),
        MATCH(LEFT(TRIM(I339),FIND(" ",TRIM(I339))-1),
          {"January","February","March","April","May","June","July","August","September","October","November","December"},0),
        VALUE(MID(TRIM(I339),
          FIND(" ",TRIM(I339))+1,
          FIND(" ",TRIM(I339),FIND(" ",TRIM(I339))+1)-FIND(" ",TRIM(I339))-1))
      )
    )
  ),
"yyyy-mm-dd")</f>
        <v>2023-10-10</v>
      </c>
      <c r="K339" s="5" t="str">
        <f t="shared" si="44"/>
        <v>Oct</v>
      </c>
      <c r="L339">
        <v>1688712931</v>
      </c>
      <c r="M339" s="11">
        <f t="shared" si="45"/>
        <v>45114.288553240738</v>
      </c>
      <c r="O339" s="7">
        <f t="shared" si="46"/>
        <v>0</v>
      </c>
      <c r="P339" t="s">
        <v>58</v>
      </c>
      <c r="Q339" s="7" t="str">
        <f t="shared" si="47"/>
        <v>Student account</v>
      </c>
    </row>
    <row r="340" spans="1:17">
      <c r="A340">
        <v>1440</v>
      </c>
      <c r="B340" t="s">
        <v>80</v>
      </c>
      <c r="C340" s="9" t="str">
        <f t="shared" si="40"/>
        <v>Ahmed Hassan</v>
      </c>
      <c r="D340" s="7" t="str">
        <f t="shared" si="41"/>
        <v>Ahmed Hassan</v>
      </c>
      <c r="E340">
        <v>53</v>
      </c>
      <c r="F340" s="7">
        <f t="shared" si="42"/>
        <v>53</v>
      </c>
      <c r="G340" t="s">
        <v>29</v>
      </c>
      <c r="H340" s="7" t="str">
        <f t="shared" si="43"/>
        <v>United States</v>
      </c>
      <c r="I340" t="s">
        <v>400</v>
      </c>
      <c r="J340" s="7" t="str">
        <f>TEXT(
  IFERROR(
    DATEVALUE(SUBSTITUTE(SUBSTITUTE(TRIM(I340),"T"," "),"Z","")),
    IFERROR(
      DATE(
        RIGHT(TRIM(I340),4),
        MID(TRIM(I340),4,2),
        LEFT(TRIM(I340),2)
      ),
      DATE(
        VALUE(RIGHT(TRIM(I340),4)),
        MATCH(LEFT(TRIM(I340),FIND(" ",TRIM(I340))-1),
          {"January","February","March","April","May","June","July","August","September","October","November","December"},0),
        VALUE(MID(TRIM(I340),
          FIND(" ",TRIM(I340))+1,
          FIND(" ",TRIM(I340),FIND(" ",TRIM(I340))+1)-FIND(" ",TRIM(I340))-1))
      )
    )
  ),
"yyyy-mm-dd")</f>
        <v>2023-03-24</v>
      </c>
      <c r="K340" s="5" t="str">
        <f t="shared" si="44"/>
        <v>Mar</v>
      </c>
      <c r="L340">
        <v>1693860478</v>
      </c>
      <c r="M340" s="11">
        <f t="shared" si="45"/>
        <v>45173.866643518515</v>
      </c>
      <c r="N340">
        <v>17.88</v>
      </c>
      <c r="O340" s="7">
        <f t="shared" si="46"/>
        <v>17.88</v>
      </c>
      <c r="P340" t="s">
        <v>33</v>
      </c>
      <c r="Q340" s="7" t="str">
        <f t="shared" si="47"/>
        <v>Frequent buyer n</v>
      </c>
    </row>
    <row r="341" spans="1:17">
      <c r="A341">
        <v>1966</v>
      </c>
      <c r="B341" t="s">
        <v>183</v>
      </c>
      <c r="C341" s="9" t="str">
        <f t="shared" si="40"/>
        <v>Mia Thompson</v>
      </c>
      <c r="D341" s="7" t="str">
        <f t="shared" si="41"/>
        <v>Mia Thompson</v>
      </c>
      <c r="E341">
        <v>22</v>
      </c>
      <c r="F341" s="7">
        <f t="shared" si="42"/>
        <v>22</v>
      </c>
      <c r="G341" t="s">
        <v>122</v>
      </c>
      <c r="H341" s="7" t="str">
        <f t="shared" si="43"/>
        <v>Italy</v>
      </c>
      <c r="I341" t="s">
        <v>401</v>
      </c>
      <c r="J341" s="7" t="str">
        <f>TEXT(
  IFERROR(
    DATEVALUE(SUBSTITUTE(SUBSTITUTE(TRIM(I341),"T"," "),"Z","")),
    IFERROR(
      DATE(
        RIGHT(TRIM(I341),4),
        MID(TRIM(I341),4,2),
        LEFT(TRIM(I341),2)
      ),
      DATE(
        VALUE(RIGHT(TRIM(I341),4)),
        MATCH(LEFT(TRIM(I341),FIND(" ",TRIM(I341))-1),
          {"January","February","March","April","May","June","July","August","September","October","November","December"},0),
        VALUE(MID(TRIM(I341),
          FIND(" ",TRIM(I341))+1,
          FIND(" ",TRIM(I341),FIND(" ",TRIM(I341))+1)-FIND(" ",TRIM(I341))-1))
      )
    )
  ),
"yyyy-mm-dd")</f>
        <v>2023-02-10</v>
      </c>
      <c r="K341" s="5" t="str">
        <f t="shared" si="44"/>
        <v>Feb</v>
      </c>
      <c r="L341">
        <v>1673790858</v>
      </c>
      <c r="M341" s="11">
        <f t="shared" si="45"/>
        <v>44941.579375000001</v>
      </c>
      <c r="O341" s="7">
        <f t="shared" si="46"/>
        <v>0</v>
      </c>
      <c r="P341" t="s">
        <v>27</v>
      </c>
      <c r="Q341" s="7" t="str">
        <f t="shared" si="47"/>
        <v xml:space="preserve">Holiday signup </v>
      </c>
    </row>
    <row r="342" spans="1:17">
      <c r="A342">
        <v>2068</v>
      </c>
      <c r="B342" t="s">
        <v>107</v>
      </c>
      <c r="C342" s="9" t="str">
        <f t="shared" si="40"/>
        <v>Fatima Ali</v>
      </c>
      <c r="D342" s="7" t="str">
        <f t="shared" si="41"/>
        <v>Fatima Ali</v>
      </c>
      <c r="E342">
        <v>56</v>
      </c>
      <c r="F342" s="7">
        <f t="shared" si="42"/>
        <v>56</v>
      </c>
      <c r="G342" t="s">
        <v>60</v>
      </c>
      <c r="H342" s="7" t="str">
        <f t="shared" si="43"/>
        <v>Egypt</v>
      </c>
      <c r="I342" t="s">
        <v>147</v>
      </c>
      <c r="J342" s="7" t="str">
        <f>TEXT(
  IFERROR(
    DATEVALUE(SUBSTITUTE(SUBSTITUTE(TRIM(I342),"T"," "),"Z","")),
    IFERROR(
      DATE(
        RIGHT(TRIM(I342),4),
        MID(TRIM(I342),4,2),
        LEFT(TRIM(I342),2)
      ),
      DATE(
        VALUE(RIGHT(TRIM(I342),4)),
        MATCH(LEFT(TRIM(I342),FIND(" ",TRIM(I342))-1),
          {"January","February","March","April","May","June","July","August","September","October","November","December"},0),
        VALUE(MID(TRIM(I342),
          FIND(" ",TRIM(I342))+1,
          FIND(" ",TRIM(I342),FIND(" ",TRIM(I342))+1)-FIND(" ",TRIM(I342))-1))
      )
    )
  ),
"yyyy-mm-dd")</f>
        <v>2023-08-13</v>
      </c>
      <c r="K342" s="5" t="str">
        <f t="shared" si="44"/>
        <v>Aug</v>
      </c>
      <c r="L342">
        <v>1679292171</v>
      </c>
      <c r="M342" s="11">
        <f t="shared" si="45"/>
        <v>45005.251979166671</v>
      </c>
      <c r="O342" s="7">
        <f t="shared" si="46"/>
        <v>0</v>
      </c>
      <c r="P342" t="s">
        <v>40</v>
      </c>
      <c r="Q342" s="7" t="str">
        <f t="shared" si="47"/>
        <v xml:space="preserve">VIP client </v>
      </c>
    </row>
    <row r="343" spans="1:17">
      <c r="A343">
        <v>1069</v>
      </c>
      <c r="B343" t="s">
        <v>183</v>
      </c>
      <c r="C343" s="9" t="str">
        <f t="shared" si="40"/>
        <v>Mia Thompson</v>
      </c>
      <c r="D343" s="7" t="str">
        <f t="shared" si="41"/>
        <v>Mia Thompson</v>
      </c>
      <c r="E343">
        <v>32</v>
      </c>
      <c r="F343" s="7">
        <f t="shared" si="42"/>
        <v>32</v>
      </c>
      <c r="G343" t="s">
        <v>48</v>
      </c>
      <c r="H343" s="7" t="str">
        <f t="shared" si="43"/>
        <v>France</v>
      </c>
      <c r="I343" t="s">
        <v>402</v>
      </c>
      <c r="J343" s="7" t="str">
        <f>TEXT(
  IFERROR(
    DATEVALUE(SUBSTITUTE(SUBSTITUTE(TRIM(I343),"T"," "),"Z","")),
    IFERROR(
      DATE(
        RIGHT(TRIM(I343),4),
        MID(TRIM(I343),4,2),
        LEFT(TRIM(I343),2)
      ),
      DATE(
        VALUE(RIGHT(TRIM(I343),4)),
        MATCH(LEFT(TRIM(I343),FIND(" ",TRIM(I343))-1),
          {"January","February","March","April","May","June","July","August","September","October","November","December"},0),
        VALUE(MID(TRIM(I343),
          FIND(" ",TRIM(I343))+1,
          FIND(" ",TRIM(I343),FIND(" ",TRIM(I343))+1)-FIND(" ",TRIM(I343))-1))
      )
    )
  ),
"yyyy-mm-dd")</f>
        <v>2023-12-12</v>
      </c>
      <c r="K343" s="5" t="str">
        <f t="shared" si="44"/>
        <v>Dec</v>
      </c>
      <c r="L343">
        <v>1684594871</v>
      </c>
      <c r="M343" s="11">
        <f t="shared" si="45"/>
        <v>45066.625821759255</v>
      </c>
      <c r="N343">
        <v>366.49</v>
      </c>
      <c r="O343" s="7">
        <f t="shared" si="46"/>
        <v>366.49</v>
      </c>
      <c r="P343" t="s">
        <v>33</v>
      </c>
      <c r="Q343" s="7" t="str">
        <f t="shared" si="47"/>
        <v>Frequent buyer n</v>
      </c>
    </row>
    <row r="344" spans="1:17">
      <c r="A344">
        <v>2126</v>
      </c>
      <c r="B344" t="s">
        <v>107</v>
      </c>
      <c r="C344" s="9" t="str">
        <f t="shared" si="40"/>
        <v>Fatima Ali</v>
      </c>
      <c r="D344" s="7" t="str">
        <f t="shared" si="41"/>
        <v>Fatima Ali</v>
      </c>
      <c r="F344" s="7">
        <f t="shared" si="42"/>
        <v>43</v>
      </c>
      <c r="G344" t="s">
        <v>122</v>
      </c>
      <c r="H344" s="7" t="str">
        <f t="shared" si="43"/>
        <v>Italy</v>
      </c>
      <c r="I344" t="s">
        <v>403</v>
      </c>
      <c r="J344" s="7" t="str">
        <f>TEXT(
  IFERROR(
    DATEVALUE(SUBSTITUTE(SUBSTITUTE(TRIM(I344),"T"," "),"Z","")),
    IFERROR(
      DATE(
        RIGHT(TRIM(I344),4),
        MID(TRIM(I344),4,2),
        LEFT(TRIM(I344),2)
      ),
      DATE(
        VALUE(RIGHT(TRIM(I344),4)),
        MATCH(LEFT(TRIM(I344),FIND(" ",TRIM(I344))-1),
          {"January","February","March","April","May","June","July","August","September","October","November","December"},0),
        VALUE(MID(TRIM(I344),
          FIND(" ",TRIM(I344))+1,
          FIND(" ",TRIM(I344),FIND(" ",TRIM(I344))+1)-FIND(" ",TRIM(I344))-1))
      )
    )
  ),
"yyyy-mm-dd")</f>
        <v>2023-05-22</v>
      </c>
      <c r="K344" s="5" t="str">
        <f t="shared" si="44"/>
        <v>May</v>
      </c>
      <c r="L344">
        <v>1692870179</v>
      </c>
      <c r="M344" s="11">
        <f t="shared" si="45"/>
        <v>45162.404849537037</v>
      </c>
      <c r="O344" s="7">
        <f t="shared" si="46"/>
        <v>0</v>
      </c>
      <c r="P344" t="s">
        <v>118</v>
      </c>
      <c r="Q344" s="7" t="str">
        <f t="shared" si="47"/>
        <v>High engagement</v>
      </c>
    </row>
    <row r="345" spans="1:17">
      <c r="A345">
        <v>2178</v>
      </c>
      <c r="B345" t="s">
        <v>94</v>
      </c>
      <c r="C345" s="9" t="str">
        <f t="shared" si="40"/>
        <v>John Smith</v>
      </c>
      <c r="D345" s="7" t="str">
        <f t="shared" si="41"/>
        <v xml:space="preserve"> John Smith </v>
      </c>
      <c r="E345">
        <v>44</v>
      </c>
      <c r="F345" s="7">
        <f t="shared" si="42"/>
        <v>44</v>
      </c>
      <c r="G345" t="s">
        <v>62</v>
      </c>
      <c r="H345" s="7" t="str">
        <f t="shared" si="43"/>
        <v>Ireland</v>
      </c>
      <c r="I345" t="s">
        <v>83</v>
      </c>
      <c r="J345" s="7" t="str">
        <f>TEXT(
  IFERROR(
    DATEVALUE(SUBSTITUTE(SUBSTITUTE(TRIM(I345),"T"," "),"Z","")),
    IFERROR(
      DATE(
        RIGHT(TRIM(I345),4),
        MID(TRIM(I345),4,2),
        LEFT(TRIM(I345),2)
      ),
      DATE(
        VALUE(RIGHT(TRIM(I345),4)),
        MATCH(LEFT(TRIM(I345),FIND(" ",TRIM(I345))-1),
          {"January","February","March","April","May","June","July","August","September","October","November","December"},0),
        VALUE(MID(TRIM(I345),
          FIND(" ",TRIM(I345))+1,
          FIND(" ",TRIM(I345),FIND(" ",TRIM(I345))+1)-FIND(" ",TRIM(I345))-1))
      )
    )
  ),
"yyyy-mm-dd")</f>
        <v>2023-02-07</v>
      </c>
      <c r="K345" s="5" t="str">
        <f t="shared" si="44"/>
        <v>Feb</v>
      </c>
      <c r="L345">
        <v>1682397452</v>
      </c>
      <c r="M345" s="11">
        <f t="shared" si="45"/>
        <v>45041.192731481482</v>
      </c>
      <c r="N345">
        <v>516.54999999999995</v>
      </c>
      <c r="O345" s="7">
        <f t="shared" si="46"/>
        <v>516.54999999999995</v>
      </c>
      <c r="P345" t="s">
        <v>46</v>
      </c>
      <c r="Q345" s="7" t="str">
        <f t="shared" si="47"/>
        <v>Corporate account</v>
      </c>
    </row>
    <row r="346" spans="1:17">
      <c r="A346">
        <v>1528</v>
      </c>
      <c r="B346" t="s">
        <v>148</v>
      </c>
      <c r="C346" s="9" t="str">
        <f t="shared" si="40"/>
        <v>Chloe Dubois</v>
      </c>
      <c r="D346" s="7" t="str">
        <f t="shared" si="41"/>
        <v>Chloe Dubois</v>
      </c>
      <c r="E346">
        <v>34</v>
      </c>
      <c r="F346" s="7">
        <f t="shared" si="42"/>
        <v>34</v>
      </c>
      <c r="G346" t="s">
        <v>111</v>
      </c>
      <c r="H346" s="7" t="str">
        <f t="shared" si="43"/>
        <v>South Korea</v>
      </c>
      <c r="I346" t="s">
        <v>404</v>
      </c>
      <c r="J346" s="7" t="str">
        <f>TEXT(
  IFERROR(
    DATEVALUE(SUBSTITUTE(SUBSTITUTE(TRIM(I346),"T"," "),"Z","")),
    IFERROR(
      DATE(
        RIGHT(TRIM(I346),4),
        MID(TRIM(I346),4,2),
        LEFT(TRIM(I346),2)
      ),
      DATE(
        VALUE(RIGHT(TRIM(I346),4)),
        MATCH(LEFT(TRIM(I346),FIND(" ",TRIM(I346))-1),
          {"January","February","March","April","May","June","July","August","September","October","November","December"},0),
        VALUE(MID(TRIM(I346),
          FIND(" ",TRIM(I346))+1,
          FIND(" ",TRIM(I346),FIND(" ",TRIM(I346))+1)-FIND(" ",TRIM(I346))-1))
      )
    )
  ),
"yyyy-mm-dd")</f>
        <v>2023-07-13</v>
      </c>
      <c r="K346" s="5" t="str">
        <f t="shared" si="44"/>
        <v>Jul</v>
      </c>
      <c r="L346">
        <v>1688751926</v>
      </c>
      <c r="M346" s="11">
        <f t="shared" si="45"/>
        <v>45114.739884259259</v>
      </c>
      <c r="O346" s="7">
        <f t="shared" si="46"/>
        <v>0</v>
      </c>
      <c r="P346" t="s">
        <v>36</v>
      </c>
      <c r="Q346" s="7" t="str">
        <f t="shared" si="47"/>
        <v>Regular shopper</v>
      </c>
    </row>
    <row r="347" spans="1:17">
      <c r="A347">
        <v>1944</v>
      </c>
      <c r="B347" t="s">
        <v>166</v>
      </c>
      <c r="C347" s="9" t="str">
        <f t="shared" si="40"/>
        <v>Daniel Kim</v>
      </c>
      <c r="D347" s="7" t="str">
        <f t="shared" si="41"/>
        <v>Daniel Kim</v>
      </c>
      <c r="F347" s="7">
        <f t="shared" si="42"/>
        <v>43</v>
      </c>
      <c r="G347" t="s">
        <v>29</v>
      </c>
      <c r="H347" s="7" t="str">
        <f t="shared" si="43"/>
        <v>United States</v>
      </c>
      <c r="I347" t="s">
        <v>405</v>
      </c>
      <c r="J347" s="7" t="str">
        <f>TEXT(
  IFERROR(
    DATEVALUE(SUBSTITUTE(SUBSTITUTE(TRIM(I347),"T"," "),"Z","")),
    IFERROR(
      DATE(
        RIGHT(TRIM(I347),4),
        MID(TRIM(I347),4,2),
        LEFT(TRIM(I347),2)
      ),
      DATE(
        VALUE(RIGHT(TRIM(I347),4)),
        MATCH(LEFT(TRIM(I347),FIND(" ",TRIM(I347))-1),
          {"January","February","March","April","May","June","July","August","September","October","November","December"},0),
        VALUE(MID(TRIM(I347),
          FIND(" ",TRIM(I347))+1,
          FIND(" ",TRIM(I347),FIND(" ",TRIM(I347))+1)-FIND(" ",TRIM(I347))-1))
      )
    )
  ),
"yyyy-mm-dd")</f>
        <v>2023-07-15</v>
      </c>
      <c r="K347" s="5" t="str">
        <f t="shared" si="44"/>
        <v>Jul</v>
      </c>
      <c r="L347">
        <v>1695237430</v>
      </c>
      <c r="M347" s="11">
        <f t="shared" si="45"/>
        <v>45189.803587962961</v>
      </c>
      <c r="O347" s="7">
        <f t="shared" si="46"/>
        <v>0</v>
      </c>
      <c r="P347" t="s">
        <v>118</v>
      </c>
      <c r="Q347" s="7" t="str">
        <f t="shared" si="47"/>
        <v>High engagement</v>
      </c>
    </row>
    <row r="348" spans="1:17">
      <c r="A348">
        <v>1724</v>
      </c>
      <c r="B348" t="s">
        <v>80</v>
      </c>
      <c r="C348" s="9" t="str">
        <f t="shared" si="40"/>
        <v>Ahmed Hassan</v>
      </c>
      <c r="D348" s="7" t="str">
        <f t="shared" si="41"/>
        <v>Ahmed Hassan</v>
      </c>
      <c r="E348">
        <v>62</v>
      </c>
      <c r="F348" s="7">
        <f t="shared" si="42"/>
        <v>62</v>
      </c>
      <c r="G348" t="s">
        <v>102</v>
      </c>
      <c r="H348" s="7" t="str">
        <f t="shared" si="43"/>
        <v>Mexico</v>
      </c>
      <c r="I348" t="s">
        <v>406</v>
      </c>
      <c r="J348" s="7" t="str">
        <f>TEXT(
  IFERROR(
    DATEVALUE(SUBSTITUTE(SUBSTITUTE(TRIM(I348),"T"," "),"Z","")),
    IFERROR(
      DATE(
        RIGHT(TRIM(I348),4),
        MID(TRIM(I348),4,2),
        LEFT(TRIM(I348),2)
      ),
      DATE(
        VALUE(RIGHT(TRIM(I348),4)),
        MATCH(LEFT(TRIM(I348),FIND(" ",TRIM(I348))-1),
          {"January","February","March","April","May","June","July","August","September","October","November","December"},0),
        VALUE(MID(TRIM(I348),
          FIND(" ",TRIM(I348))+1,
          FIND(" ",TRIM(I348),FIND(" ",TRIM(I348))+1)-FIND(" ",TRIM(I348))-1))
      )
    )
  ),
"yyyy-mm-dd")</f>
        <v>2023-02-17</v>
      </c>
      <c r="K348" s="5" t="str">
        <f t="shared" si="44"/>
        <v>Feb</v>
      </c>
      <c r="L348">
        <v>1695129550</v>
      </c>
      <c r="M348" s="11">
        <f t="shared" si="45"/>
        <v>45188.554976851854</v>
      </c>
      <c r="O348" s="7">
        <f t="shared" si="46"/>
        <v>0</v>
      </c>
      <c r="P348" t="s">
        <v>52</v>
      </c>
      <c r="Q348" s="7" t="str">
        <f t="shared" si="47"/>
        <v xml:space="preserve">Prefers email </v>
      </c>
    </row>
    <row r="349" spans="1:17">
      <c r="A349">
        <v>2136</v>
      </c>
      <c r="B349" t="s">
        <v>124</v>
      </c>
      <c r="C349" s="9" t="str">
        <f t="shared" si="40"/>
        <v>Sarah Johnson</v>
      </c>
      <c r="D349" s="7" t="str">
        <f t="shared" si="41"/>
        <v>Sarah Johnson</v>
      </c>
      <c r="E349">
        <v>31</v>
      </c>
      <c r="F349" s="7">
        <f t="shared" si="42"/>
        <v>31</v>
      </c>
      <c r="G349" t="s">
        <v>54</v>
      </c>
      <c r="H349" s="7" t="str">
        <f t="shared" si="43"/>
        <v>Brazil</v>
      </c>
      <c r="I349" t="s">
        <v>407</v>
      </c>
      <c r="J349" s="7" t="str">
        <f>TEXT(
  IFERROR(
    DATEVALUE(SUBSTITUTE(SUBSTITUTE(TRIM(I349),"T"," "),"Z","")),
    IFERROR(
      DATE(
        RIGHT(TRIM(I349),4),
        MID(TRIM(I349),4,2),
        LEFT(TRIM(I349),2)
      ),
      DATE(
        VALUE(RIGHT(TRIM(I349),4)),
        MATCH(LEFT(TRIM(I349),FIND(" ",TRIM(I349))-1),
          {"January","February","March","April","May","June","July","August","September","October","November","December"},0),
        VALUE(MID(TRIM(I349),
          FIND(" ",TRIM(I349))+1,
          FIND(" ",TRIM(I349),FIND(" ",TRIM(I349))+1)-FIND(" ",TRIM(I349))-1))
      )
    )
  ),
"yyyy-mm-dd")</f>
        <v>2023-04-04</v>
      </c>
      <c r="K349" s="5" t="str">
        <f t="shared" si="44"/>
        <v>Apr</v>
      </c>
      <c r="L349">
        <v>1689267639</v>
      </c>
      <c r="M349" s="11">
        <f t="shared" si="45"/>
        <v>45120.708784722221</v>
      </c>
      <c r="N349">
        <v>1108.3</v>
      </c>
      <c r="O349" s="7">
        <f t="shared" si="46"/>
        <v>1108.3</v>
      </c>
      <c r="P349" t="s">
        <v>40</v>
      </c>
      <c r="Q349" s="7" t="str">
        <f t="shared" si="47"/>
        <v xml:space="preserve">VIP client </v>
      </c>
    </row>
    <row r="350" spans="1:17">
      <c r="A350">
        <v>1544</v>
      </c>
      <c r="B350" t="s">
        <v>21</v>
      </c>
      <c r="C350" s="9" t="str">
        <f t="shared" si="40"/>
        <v>David Brown</v>
      </c>
      <c r="D350" s="7" t="str">
        <f t="shared" si="41"/>
        <v xml:space="preserve"> David Brown </v>
      </c>
      <c r="F350" s="7">
        <f t="shared" si="42"/>
        <v>43</v>
      </c>
      <c r="G350" t="s">
        <v>18</v>
      </c>
      <c r="H350" s="7" t="str">
        <f t="shared" si="43"/>
        <v>United Kingdom</v>
      </c>
      <c r="I350" t="s">
        <v>408</v>
      </c>
      <c r="J350" s="7" t="str">
        <f>TEXT(
  IFERROR(
    DATEVALUE(SUBSTITUTE(SUBSTITUTE(TRIM(I350),"T"," "),"Z","")),
    IFERROR(
      DATE(
        RIGHT(TRIM(I350),4),
        MID(TRIM(I350),4,2),
        LEFT(TRIM(I350),2)
      ),
      DATE(
        VALUE(RIGHT(TRIM(I350),4)),
        MATCH(LEFT(TRIM(I350),FIND(" ",TRIM(I350))-1),
          {"January","February","March","April","May","June","July","August","September","October","November","December"},0),
        VALUE(MID(TRIM(I350),
          FIND(" ",TRIM(I350))+1,
          FIND(" ",TRIM(I350),FIND(" ",TRIM(I350))+1)-FIND(" ",TRIM(I350))-1))
      )
    )
  ),
"yyyy-mm-dd")</f>
        <v>2023-02-24</v>
      </c>
      <c r="K350" s="5" t="str">
        <f t="shared" si="44"/>
        <v>Feb</v>
      </c>
      <c r="L350">
        <v>1703400390</v>
      </c>
      <c r="M350" s="11">
        <f t="shared" si="45"/>
        <v>45284.282291666663</v>
      </c>
      <c r="O350" s="7">
        <f t="shared" si="46"/>
        <v>0</v>
      </c>
      <c r="P350" t="s">
        <v>27</v>
      </c>
      <c r="Q350" s="7" t="str">
        <f t="shared" si="47"/>
        <v xml:space="preserve">Holiday signup </v>
      </c>
    </row>
    <row r="351" spans="1:17">
      <c r="A351">
        <v>1014</v>
      </c>
      <c r="B351" t="s">
        <v>82</v>
      </c>
      <c r="C351" s="9" t="str">
        <f t="shared" si="40"/>
        <v>Björn Larsson</v>
      </c>
      <c r="D351" s="7" t="str">
        <f t="shared" si="41"/>
        <v>Björn Larsson</v>
      </c>
      <c r="F351" s="7">
        <f t="shared" si="42"/>
        <v>43</v>
      </c>
      <c r="G351" t="s">
        <v>25</v>
      </c>
      <c r="H351" s="7" t="str">
        <f t="shared" si="43"/>
        <v>Japan</v>
      </c>
      <c r="I351" t="s">
        <v>409</v>
      </c>
      <c r="J351" s="7" t="str">
        <f>TEXT(
  IFERROR(
    DATEVALUE(SUBSTITUTE(SUBSTITUTE(TRIM(I351),"T"," "),"Z","")),
    IFERROR(
      DATE(
        RIGHT(TRIM(I351),4),
        MID(TRIM(I351),4,2),
        LEFT(TRIM(I351),2)
      ),
      DATE(
        VALUE(RIGHT(TRIM(I351),4)),
        MATCH(LEFT(TRIM(I351),FIND(" ",TRIM(I351))-1),
          {"January","February","March","April","May","June","July","August","September","October","November","December"},0),
        VALUE(MID(TRIM(I351),
          FIND(" ",TRIM(I351))+1,
          FIND(" ",TRIM(I351),FIND(" ",TRIM(I351))+1)-FIND(" ",TRIM(I351))-1))
      )
    )
  ),
"yyyy-mm-dd")</f>
        <v>2023-09-10</v>
      </c>
      <c r="K351" s="5" t="str">
        <f t="shared" si="44"/>
        <v>Sep</v>
      </c>
      <c r="L351">
        <v>1701675044</v>
      </c>
      <c r="M351" s="11">
        <f t="shared" si="45"/>
        <v>45264.313009259262</v>
      </c>
      <c r="N351">
        <v>419.35</v>
      </c>
      <c r="O351" s="7">
        <f t="shared" si="46"/>
        <v>419.35</v>
      </c>
      <c r="P351" t="s">
        <v>46</v>
      </c>
      <c r="Q351" s="7" t="str">
        <f t="shared" si="47"/>
        <v>Corporate account</v>
      </c>
    </row>
    <row r="352" spans="1:17">
      <c r="A352">
        <v>1574</v>
      </c>
      <c r="B352" t="s">
        <v>198</v>
      </c>
      <c r="C352" s="9" t="str">
        <f t="shared" si="40"/>
        <v>Noah Martin</v>
      </c>
      <c r="D352" s="7" t="str">
        <f t="shared" si="41"/>
        <v xml:space="preserve"> Noah Martin </v>
      </c>
      <c r="E352">
        <v>54</v>
      </c>
      <c r="F352" s="7">
        <f t="shared" si="42"/>
        <v>54</v>
      </c>
      <c r="G352" t="s">
        <v>67</v>
      </c>
      <c r="H352" s="7" t="str">
        <f t="shared" si="43"/>
        <v>Sweden</v>
      </c>
      <c r="I352" t="s">
        <v>346</v>
      </c>
      <c r="J352" s="7" t="str">
        <f>TEXT(
  IFERROR(
    DATEVALUE(SUBSTITUTE(SUBSTITUTE(TRIM(I352),"T"," "),"Z","")),
    IFERROR(
      DATE(
        RIGHT(TRIM(I352),4),
        MID(TRIM(I352),4,2),
        LEFT(TRIM(I352),2)
      ),
      DATE(
        VALUE(RIGHT(TRIM(I352),4)),
        MATCH(LEFT(TRIM(I352),FIND(" ",TRIM(I352))-1),
          {"January","February","March","April","May","June","July","August","September","October","November","December"},0),
        VALUE(MID(TRIM(I352),
          FIND(" ",TRIM(I352))+1,
          FIND(" ",TRIM(I352),FIND(" ",TRIM(I352))+1)-FIND(" ",TRIM(I352))-1))
      )
    )
  ),
"yyyy-mm-dd")</f>
        <v>2023-08-05</v>
      </c>
      <c r="K352" s="5" t="str">
        <f t="shared" si="44"/>
        <v>Aug</v>
      </c>
      <c r="L352">
        <v>1704053570</v>
      </c>
      <c r="M352" s="11">
        <f t="shared" si="45"/>
        <v>45291.842245370368</v>
      </c>
      <c r="O352" s="7">
        <f t="shared" si="46"/>
        <v>0</v>
      </c>
      <c r="P352" t="s">
        <v>118</v>
      </c>
      <c r="Q352" s="7" t="str">
        <f t="shared" si="47"/>
        <v>High engagement</v>
      </c>
    </row>
    <row r="353" spans="1:17">
      <c r="A353">
        <v>1358</v>
      </c>
      <c r="B353" t="s">
        <v>210</v>
      </c>
      <c r="C353" s="9" t="str">
        <f t="shared" si="40"/>
        <v>Ethan Clark</v>
      </c>
      <c r="D353" s="7" t="str">
        <f t="shared" si="41"/>
        <v>Ethan Clark</v>
      </c>
      <c r="F353" s="7">
        <f t="shared" si="42"/>
        <v>43</v>
      </c>
      <c r="G353" t="s">
        <v>25</v>
      </c>
      <c r="H353" s="7" t="str">
        <f t="shared" si="43"/>
        <v>Japan</v>
      </c>
      <c r="I353" t="s">
        <v>410</v>
      </c>
      <c r="J353" s="7" t="str">
        <f>TEXT(
  IFERROR(
    DATEVALUE(SUBSTITUTE(SUBSTITUTE(TRIM(I353),"T"," "),"Z","")),
    IFERROR(
      DATE(
        RIGHT(TRIM(I353),4),
        MID(TRIM(I353),4,2),
        LEFT(TRIM(I353),2)
      ),
      DATE(
        VALUE(RIGHT(TRIM(I353),4)),
        MATCH(LEFT(TRIM(I353),FIND(" ",TRIM(I353))-1),
          {"January","February","March","April","May","June","July","August","September","October","November","December"},0),
        VALUE(MID(TRIM(I353),
          FIND(" ",TRIM(I353))+1,
          FIND(" ",TRIM(I353),FIND(" ",TRIM(I353))+1)-FIND(" ",TRIM(I353))-1))
      )
    )
  ),
"yyyy-mm-dd")</f>
        <v>2023-12-19</v>
      </c>
      <c r="K353" s="5" t="str">
        <f t="shared" si="44"/>
        <v>Dec</v>
      </c>
      <c r="L353">
        <v>1672920612</v>
      </c>
      <c r="M353" s="11">
        <f t="shared" si="45"/>
        <v>44931.50708333333</v>
      </c>
      <c r="O353" s="7">
        <f t="shared" si="46"/>
        <v>0</v>
      </c>
      <c r="P353" t="s">
        <v>27</v>
      </c>
      <c r="Q353" s="7" t="str">
        <f t="shared" si="47"/>
        <v xml:space="preserve">Holiday signup </v>
      </c>
    </row>
    <row r="354" spans="1:17">
      <c r="A354">
        <v>1207</v>
      </c>
      <c r="B354" t="s">
        <v>41</v>
      </c>
      <c r="C354" s="9" t="str">
        <f t="shared" si="40"/>
        <v>Lucas Silva</v>
      </c>
      <c r="D354" s="7" t="str">
        <f t="shared" si="41"/>
        <v>Lucas Silva</v>
      </c>
      <c r="E354">
        <v>29</v>
      </c>
      <c r="F354" s="7">
        <f t="shared" si="42"/>
        <v>29</v>
      </c>
      <c r="G354" t="s">
        <v>54</v>
      </c>
      <c r="H354" s="7" t="str">
        <f t="shared" si="43"/>
        <v>Brazil</v>
      </c>
      <c r="I354" t="s">
        <v>68</v>
      </c>
      <c r="J354" s="7" t="str">
        <f>TEXT(
  IFERROR(
    DATEVALUE(SUBSTITUTE(SUBSTITUTE(TRIM(I354),"T"," "),"Z","")),
    IFERROR(
      DATE(
        RIGHT(TRIM(I354),4),
        MID(TRIM(I354),4,2),
        LEFT(TRIM(I354),2)
      ),
      DATE(
        VALUE(RIGHT(TRIM(I354),4)),
        MATCH(LEFT(TRIM(I354),FIND(" ",TRIM(I354))-1),
          {"January","February","March","April","May","June","July","August","September","October","November","December"},0),
        VALUE(MID(TRIM(I354),
          FIND(" ",TRIM(I354))+1,
          FIND(" ",TRIM(I354),FIND(" ",TRIM(I354))+1)-FIND(" ",TRIM(I354))-1))
      )
    )
  ),
"yyyy-mm-dd")</f>
        <v>2023-02-05</v>
      </c>
      <c r="K354" s="5" t="str">
        <f t="shared" si="44"/>
        <v>Feb</v>
      </c>
      <c r="L354">
        <v>1688339725</v>
      </c>
      <c r="M354" s="11">
        <f t="shared" si="45"/>
        <v>45109.969039351854</v>
      </c>
      <c r="O354" s="7">
        <f t="shared" si="46"/>
        <v>0</v>
      </c>
      <c r="P354" t="s">
        <v>84</v>
      </c>
      <c r="Q354" s="7" t="str">
        <f t="shared" si="47"/>
        <v xml:space="preserve">Newsletter subscriber </v>
      </c>
    </row>
    <row r="355" spans="1:17">
      <c r="A355">
        <v>1469</v>
      </c>
      <c r="B355" t="s">
        <v>140</v>
      </c>
      <c r="C355" s="9" t="str">
        <f t="shared" si="40"/>
        <v>Anne Müller</v>
      </c>
      <c r="D355" s="7" t="str">
        <f t="shared" si="41"/>
        <v>Anne Müller</v>
      </c>
      <c r="F355" s="7">
        <f t="shared" si="42"/>
        <v>43</v>
      </c>
      <c r="G355" t="s">
        <v>116</v>
      </c>
      <c r="H355" s="7" t="str">
        <f t="shared" si="43"/>
        <v>China</v>
      </c>
      <c r="I355" t="s">
        <v>411</v>
      </c>
      <c r="J355" s="7" t="str">
        <f>TEXT(
  IFERROR(
    DATEVALUE(SUBSTITUTE(SUBSTITUTE(TRIM(I355),"T"," "),"Z","")),
    IFERROR(
      DATE(
        RIGHT(TRIM(I355),4),
        MID(TRIM(I355),4,2),
        LEFT(TRIM(I355),2)
      ),
      DATE(
        VALUE(RIGHT(TRIM(I355),4)),
        MATCH(LEFT(TRIM(I355),FIND(" ",TRIM(I355))-1),
          {"January","February","March","April","May","June","July","August","September","October","November","December"},0),
        VALUE(MID(TRIM(I355),
          FIND(" ",TRIM(I355))+1,
          FIND(" ",TRIM(I355),FIND(" ",TRIM(I355))+1)-FIND(" ",TRIM(I355))-1))
      )
    )
  ),
"yyyy-mm-dd")</f>
        <v>2023-04-11</v>
      </c>
      <c r="K355" s="5" t="str">
        <f t="shared" si="44"/>
        <v>Apr</v>
      </c>
      <c r="L355">
        <v>1699368802</v>
      </c>
      <c r="M355" s="11">
        <f t="shared" si="45"/>
        <v>45237.620393518519</v>
      </c>
      <c r="N355">
        <v>1439.13</v>
      </c>
      <c r="O355" s="7">
        <f t="shared" si="46"/>
        <v>1439.13</v>
      </c>
      <c r="P355" t="s">
        <v>36</v>
      </c>
      <c r="Q355" s="7" t="str">
        <f t="shared" si="47"/>
        <v>Regular shopper</v>
      </c>
    </row>
    <row r="356" spans="1:17">
      <c r="A356">
        <v>1020</v>
      </c>
      <c r="B356" t="s">
        <v>124</v>
      </c>
      <c r="C356" s="9" t="str">
        <f t="shared" si="40"/>
        <v>Sarah Johnson</v>
      </c>
      <c r="D356" s="7" t="str">
        <f t="shared" si="41"/>
        <v>Sarah Johnson</v>
      </c>
      <c r="E356">
        <v>58</v>
      </c>
      <c r="F356" s="7">
        <f t="shared" si="42"/>
        <v>58</v>
      </c>
      <c r="G356" t="s">
        <v>62</v>
      </c>
      <c r="H356" s="7" t="str">
        <f t="shared" si="43"/>
        <v>Ireland</v>
      </c>
      <c r="I356" t="s">
        <v>315</v>
      </c>
      <c r="J356" s="7" t="str">
        <f>TEXT(
  IFERROR(
    DATEVALUE(SUBSTITUTE(SUBSTITUTE(TRIM(I356),"T"," "),"Z","")),
    IFERROR(
      DATE(
        RIGHT(TRIM(I356),4),
        MID(TRIM(I356),4,2),
        LEFT(TRIM(I356),2)
      ),
      DATE(
        VALUE(RIGHT(TRIM(I356),4)),
        MATCH(LEFT(TRIM(I356),FIND(" ",TRIM(I356))-1),
          {"January","February","March","April","May","June","July","August","September","October","November","December"},0),
        VALUE(MID(TRIM(I356),
          FIND(" ",TRIM(I356))+1,
          FIND(" ",TRIM(I356),FIND(" ",TRIM(I356))+1)-FIND(" ",TRIM(I356))-1))
      )
    )
  ),
"yyyy-mm-dd")</f>
        <v>2023-06-11</v>
      </c>
      <c r="K356" s="5" t="str">
        <f t="shared" si="44"/>
        <v>Jun</v>
      </c>
      <c r="L356">
        <v>1682591476</v>
      </c>
      <c r="M356" s="11">
        <f t="shared" si="45"/>
        <v>45043.438379629632</v>
      </c>
      <c r="N356">
        <v>383.95</v>
      </c>
      <c r="O356" s="7">
        <f t="shared" si="46"/>
        <v>383.95</v>
      </c>
      <c r="P356" t="s">
        <v>118</v>
      </c>
      <c r="Q356" s="7" t="str">
        <f t="shared" si="47"/>
        <v>High engagement</v>
      </c>
    </row>
    <row r="357" spans="1:17">
      <c r="A357">
        <v>1203</v>
      </c>
      <c r="B357" t="s">
        <v>31</v>
      </c>
      <c r="C357" s="9" t="str">
        <f t="shared" si="40"/>
        <v>Renée Dupont</v>
      </c>
      <c r="D357" s="7" t="str">
        <f t="shared" si="41"/>
        <v xml:space="preserve"> Renée Dupont </v>
      </c>
      <c r="F357" s="7">
        <f t="shared" si="42"/>
        <v>43</v>
      </c>
      <c r="G357" t="s">
        <v>18</v>
      </c>
      <c r="H357" s="7" t="str">
        <f t="shared" si="43"/>
        <v>United Kingdom</v>
      </c>
      <c r="I357" t="s">
        <v>113</v>
      </c>
      <c r="J357" s="7" t="str">
        <f>TEXT(
  IFERROR(
    DATEVALUE(SUBSTITUTE(SUBSTITUTE(TRIM(I357),"T"," "),"Z","")),
    IFERROR(
      DATE(
        RIGHT(TRIM(I357),4),
        MID(TRIM(I357),4,2),
        LEFT(TRIM(I357),2)
      ),
      DATE(
        VALUE(RIGHT(TRIM(I357),4)),
        MATCH(LEFT(TRIM(I357),FIND(" ",TRIM(I357))-1),
          {"January","February","March","April","May","June","July","August","September","October","November","December"},0),
        VALUE(MID(TRIM(I357),
          FIND(" ",TRIM(I357))+1,
          FIND(" ",TRIM(I357),FIND(" ",TRIM(I357))+1)-FIND(" ",TRIM(I357))-1))
      )
    )
  ),
"yyyy-mm-dd")</f>
        <v>2023-08-19</v>
      </c>
      <c r="K357" s="5" t="str">
        <f t="shared" si="44"/>
        <v>Aug</v>
      </c>
      <c r="L357">
        <v>1681240405</v>
      </c>
      <c r="M357" s="11">
        <f t="shared" si="45"/>
        <v>45027.800983796296</v>
      </c>
      <c r="O357" s="7">
        <f t="shared" si="46"/>
        <v>0</v>
      </c>
      <c r="P357" t="s">
        <v>84</v>
      </c>
      <c r="Q357" s="7" t="str">
        <f t="shared" si="47"/>
        <v xml:space="preserve">Newsletter subscriber </v>
      </c>
    </row>
    <row r="358" spans="1:17">
      <c r="A358">
        <v>1041</v>
      </c>
      <c r="B358" t="s">
        <v>53</v>
      </c>
      <c r="C358" s="9" t="str">
        <f t="shared" si="40"/>
        <v>Sofia Rossi</v>
      </c>
      <c r="D358" s="7" t="str">
        <f t="shared" si="41"/>
        <v xml:space="preserve"> Sofia Rossi </v>
      </c>
      <c r="E358">
        <v>61</v>
      </c>
      <c r="F358" s="7">
        <f t="shared" si="42"/>
        <v>61</v>
      </c>
      <c r="G358" t="s">
        <v>62</v>
      </c>
      <c r="H358" s="7" t="str">
        <f t="shared" si="43"/>
        <v>Ireland</v>
      </c>
      <c r="I358" t="s">
        <v>412</v>
      </c>
      <c r="J358" s="7" t="str">
        <f>TEXT(
  IFERROR(
    DATEVALUE(SUBSTITUTE(SUBSTITUTE(TRIM(I358),"T"," "),"Z","")),
    IFERROR(
      DATE(
        RIGHT(TRIM(I358),4),
        MID(TRIM(I358),4,2),
        LEFT(TRIM(I358),2)
      ),
      DATE(
        VALUE(RIGHT(TRIM(I358),4)),
        MATCH(LEFT(TRIM(I358),FIND(" ",TRIM(I358))-1),
          {"January","February","March","April","May","June","July","August","September","October","November","December"},0),
        VALUE(MID(TRIM(I358),
          FIND(" ",TRIM(I358))+1,
          FIND(" ",TRIM(I358),FIND(" ",TRIM(I358))+1)-FIND(" ",TRIM(I358))-1))
      )
    )
  ),
"yyyy-mm-dd")</f>
        <v>2023-03-31</v>
      </c>
      <c r="K358" s="5" t="str">
        <f t="shared" si="44"/>
        <v>Mar</v>
      </c>
      <c r="L358">
        <v>1684439482</v>
      </c>
      <c r="M358" s="11">
        <f t="shared" si="45"/>
        <v>45064.827337962968</v>
      </c>
      <c r="O358" s="7">
        <f t="shared" si="46"/>
        <v>0</v>
      </c>
      <c r="P358" t="s">
        <v>36</v>
      </c>
      <c r="Q358" s="7" t="str">
        <f t="shared" si="47"/>
        <v>Regular shopper</v>
      </c>
    </row>
    <row r="359" spans="1:17">
      <c r="A359">
        <v>1161</v>
      </c>
      <c r="B359" t="s">
        <v>126</v>
      </c>
      <c r="C359" s="9" t="str">
        <f t="shared" si="40"/>
        <v>Noah Martin</v>
      </c>
      <c r="D359" s="7" t="str">
        <f t="shared" si="41"/>
        <v>Noah Martin</v>
      </c>
      <c r="E359">
        <v>47</v>
      </c>
      <c r="F359" s="7">
        <f t="shared" si="42"/>
        <v>47</v>
      </c>
      <c r="G359" t="s">
        <v>48</v>
      </c>
      <c r="H359" s="7" t="str">
        <f t="shared" si="43"/>
        <v>France</v>
      </c>
      <c r="I359" t="s">
        <v>257</v>
      </c>
      <c r="J359" s="7" t="str">
        <f>TEXT(
  IFERROR(
    DATEVALUE(SUBSTITUTE(SUBSTITUTE(TRIM(I359),"T"," "),"Z","")),
    IFERROR(
      DATE(
        RIGHT(TRIM(I359),4),
        MID(TRIM(I359),4,2),
        LEFT(TRIM(I359),2)
      ),
      DATE(
        VALUE(RIGHT(TRIM(I359),4)),
        MATCH(LEFT(TRIM(I359),FIND(" ",TRIM(I359))-1),
          {"January","February","March","April","May","June","July","August","September","October","November","December"},0),
        VALUE(MID(TRIM(I359),
          FIND(" ",TRIM(I359))+1,
          FIND(" ",TRIM(I359),FIND(" ",TRIM(I359))+1)-FIND(" ",TRIM(I359))-1))
      )
    )
  ),
"yyyy-mm-dd")</f>
        <v>2023-11-24</v>
      </c>
      <c r="K359" s="5" t="str">
        <f t="shared" si="44"/>
        <v>Nov</v>
      </c>
      <c r="L359">
        <v>1686677812</v>
      </c>
      <c r="M359" s="11">
        <f t="shared" si="45"/>
        <v>45090.733935185184</v>
      </c>
      <c r="O359" s="7">
        <f t="shared" si="46"/>
        <v>0</v>
      </c>
      <c r="P359" t="s">
        <v>52</v>
      </c>
      <c r="Q359" s="7" t="str">
        <f t="shared" si="47"/>
        <v xml:space="preserve">Prefers email </v>
      </c>
    </row>
    <row r="360" spans="1:17">
      <c r="A360">
        <v>1163</v>
      </c>
      <c r="B360" t="s">
        <v>124</v>
      </c>
      <c r="C360" s="9" t="str">
        <f t="shared" si="40"/>
        <v>Sarah Johnson</v>
      </c>
      <c r="D360" s="7" t="str">
        <f t="shared" si="41"/>
        <v>Sarah Johnson</v>
      </c>
      <c r="E360">
        <v>38</v>
      </c>
      <c r="F360" s="7">
        <f t="shared" si="42"/>
        <v>38</v>
      </c>
      <c r="G360" t="s">
        <v>102</v>
      </c>
      <c r="H360" s="7" t="str">
        <f t="shared" si="43"/>
        <v>Mexico</v>
      </c>
      <c r="I360" t="s">
        <v>413</v>
      </c>
      <c r="J360" s="7" t="str">
        <f>TEXT(
  IFERROR(
    DATEVALUE(SUBSTITUTE(SUBSTITUTE(TRIM(I360),"T"," "),"Z","")),
    IFERROR(
      DATE(
        RIGHT(TRIM(I360),4),
        MID(TRIM(I360),4,2),
        LEFT(TRIM(I360),2)
      ),
      DATE(
        VALUE(RIGHT(TRIM(I360),4)),
        MATCH(LEFT(TRIM(I360),FIND(" ",TRIM(I360))-1),
          {"January","February","March","April","May","June","July","August","September","October","November","December"},0),
        VALUE(MID(TRIM(I360),
          FIND(" ",TRIM(I360))+1,
          FIND(" ",TRIM(I360),FIND(" ",TRIM(I360))+1)-FIND(" ",TRIM(I360))-1))
      )
    )
  ),
"yyyy-mm-dd")</f>
        <v>2023-12-30</v>
      </c>
      <c r="K360" s="5" t="str">
        <f t="shared" si="44"/>
        <v>Dec</v>
      </c>
      <c r="L360">
        <v>1692837348</v>
      </c>
      <c r="M360" s="11">
        <f t="shared" si="45"/>
        <v>45162.024861111116</v>
      </c>
      <c r="O360" s="7">
        <f t="shared" si="46"/>
        <v>0</v>
      </c>
      <c r="P360" t="s">
        <v>36</v>
      </c>
      <c r="Q360" s="7" t="str">
        <f t="shared" si="47"/>
        <v>Regular shopper</v>
      </c>
    </row>
    <row r="361" spans="1:17">
      <c r="A361">
        <v>1744</v>
      </c>
      <c r="B361" t="s">
        <v>88</v>
      </c>
      <c r="C361" s="9" t="str">
        <f t="shared" si="40"/>
        <v>André Santos</v>
      </c>
      <c r="D361" s="7" t="str">
        <f t="shared" si="41"/>
        <v>André Santos</v>
      </c>
      <c r="E361">
        <v>46</v>
      </c>
      <c r="F361" s="7">
        <f t="shared" si="42"/>
        <v>46</v>
      </c>
      <c r="G361" t="s">
        <v>48</v>
      </c>
      <c r="H361" s="7" t="str">
        <f t="shared" si="43"/>
        <v>France</v>
      </c>
      <c r="I361" t="s">
        <v>414</v>
      </c>
      <c r="J361" s="7" t="str">
        <f>TEXT(
  IFERROR(
    DATEVALUE(SUBSTITUTE(SUBSTITUTE(TRIM(I361),"T"," "),"Z","")),
    IFERROR(
      DATE(
        RIGHT(TRIM(I361),4),
        MID(TRIM(I361),4,2),
        LEFT(TRIM(I361),2)
      ),
      DATE(
        VALUE(RIGHT(TRIM(I361),4)),
        MATCH(LEFT(TRIM(I361),FIND(" ",TRIM(I361))-1),
          {"January","February","March","April","May","June","July","August","September","October","November","December"},0),
        VALUE(MID(TRIM(I361),
          FIND(" ",TRIM(I361))+1,
          FIND(" ",TRIM(I361),FIND(" ",TRIM(I361))+1)-FIND(" ",TRIM(I361))-1))
      )
    )
  ),
"yyyy-mm-dd")</f>
        <v>2023-01-12</v>
      </c>
      <c r="K361" s="5" t="str">
        <f t="shared" si="44"/>
        <v>Jan</v>
      </c>
      <c r="L361">
        <v>1696943990</v>
      </c>
      <c r="M361" s="11">
        <f t="shared" si="45"/>
        <v>45209.555439814816</v>
      </c>
      <c r="O361" s="7">
        <f t="shared" si="46"/>
        <v>0</v>
      </c>
      <c r="P361" t="s">
        <v>52</v>
      </c>
      <c r="Q361" s="7" t="str">
        <f t="shared" si="47"/>
        <v xml:space="preserve">Prefers email </v>
      </c>
    </row>
    <row r="362" spans="1:17">
      <c r="A362">
        <v>1538</v>
      </c>
      <c r="B362" t="s">
        <v>78</v>
      </c>
      <c r="C362" s="9" t="str">
        <f t="shared" si="40"/>
        <v>Mia Thompson</v>
      </c>
      <c r="D362" s="7" t="str">
        <f t="shared" si="41"/>
        <v xml:space="preserve"> Mia Thompson </v>
      </c>
      <c r="F362" s="7">
        <f t="shared" si="42"/>
        <v>43</v>
      </c>
      <c r="G362" t="s">
        <v>38</v>
      </c>
      <c r="H362" s="7" t="str">
        <f t="shared" si="43"/>
        <v>Spain</v>
      </c>
      <c r="I362" t="s">
        <v>415</v>
      </c>
      <c r="J362" s="7" t="str">
        <f>TEXT(
  IFERROR(
    DATEVALUE(SUBSTITUTE(SUBSTITUTE(TRIM(I362),"T"," "),"Z","")),
    IFERROR(
      DATE(
        RIGHT(TRIM(I362),4),
        MID(TRIM(I362),4,2),
        LEFT(TRIM(I362),2)
      ),
      DATE(
        VALUE(RIGHT(TRIM(I362),4)),
        MATCH(LEFT(TRIM(I362),FIND(" ",TRIM(I362))-1),
          {"January","February","March","April","May","June","July","August","September","October","November","December"},0),
        VALUE(MID(TRIM(I362),
          FIND(" ",TRIM(I362))+1,
          FIND(" ",TRIM(I362),FIND(" ",TRIM(I362))+1)-FIND(" ",TRIM(I362))-1))
      )
    )
  ),
"yyyy-mm-dd")</f>
        <v>2023-07-05</v>
      </c>
      <c r="K362" s="5" t="str">
        <f t="shared" si="44"/>
        <v>Jul</v>
      </c>
      <c r="L362">
        <v>1687393996</v>
      </c>
      <c r="M362" s="11">
        <f t="shared" si="45"/>
        <v>45099.023101851853</v>
      </c>
      <c r="N362">
        <v>943.46</v>
      </c>
      <c r="O362" s="7">
        <f t="shared" si="46"/>
        <v>943.46</v>
      </c>
      <c r="P362" t="s">
        <v>46</v>
      </c>
      <c r="Q362" s="7" t="str">
        <f t="shared" si="47"/>
        <v>Corporate account</v>
      </c>
    </row>
    <row r="363" spans="1:17">
      <c r="A363">
        <v>1350</v>
      </c>
      <c r="B363" t="s">
        <v>94</v>
      </c>
      <c r="C363" s="9" t="str">
        <f t="shared" si="40"/>
        <v>John Smith</v>
      </c>
      <c r="D363" s="7" t="str">
        <f t="shared" si="41"/>
        <v xml:space="preserve"> John Smith </v>
      </c>
      <c r="F363" s="7">
        <f t="shared" si="42"/>
        <v>43</v>
      </c>
      <c r="G363" t="s">
        <v>111</v>
      </c>
      <c r="H363" s="7" t="str">
        <f t="shared" si="43"/>
        <v>South Korea</v>
      </c>
      <c r="I363" t="s">
        <v>416</v>
      </c>
      <c r="J363" s="7" t="str">
        <f>TEXT(
  IFERROR(
    DATEVALUE(SUBSTITUTE(SUBSTITUTE(TRIM(I363),"T"," "),"Z","")),
    IFERROR(
      DATE(
        RIGHT(TRIM(I363),4),
        MID(TRIM(I363),4,2),
        LEFT(TRIM(I363),2)
      ),
      DATE(
        VALUE(RIGHT(TRIM(I363),4)),
        MATCH(LEFT(TRIM(I363),FIND(" ",TRIM(I363))-1),
          {"January","February","March","April","May","June","July","August","September","October","November","December"},0),
        VALUE(MID(TRIM(I363),
          FIND(" ",TRIM(I363))+1,
          FIND(" ",TRIM(I363),FIND(" ",TRIM(I363))+1)-FIND(" ",TRIM(I363))-1))
      )
    )
  ),
"yyyy-mm-dd")</f>
        <v>2023-04-10</v>
      </c>
      <c r="K363" s="5" t="str">
        <f t="shared" si="44"/>
        <v>Apr</v>
      </c>
      <c r="L363">
        <v>1690930125</v>
      </c>
      <c r="M363" s="11">
        <f t="shared" si="45"/>
        <v>45139.950520833328</v>
      </c>
      <c r="N363">
        <v>672.82</v>
      </c>
      <c r="O363" s="7">
        <f t="shared" si="46"/>
        <v>672.82</v>
      </c>
      <c r="P363" t="s">
        <v>27</v>
      </c>
      <c r="Q363" s="7" t="str">
        <f t="shared" si="47"/>
        <v xml:space="preserve">Holiday signup </v>
      </c>
    </row>
    <row r="364" spans="1:17">
      <c r="A364">
        <v>1936</v>
      </c>
      <c r="B364" t="s">
        <v>185</v>
      </c>
      <c r="C364" s="9" t="str">
        <f t="shared" si="40"/>
        <v>Liam O’Connor</v>
      </c>
      <c r="D364" s="7" t="str">
        <f t="shared" si="41"/>
        <v>Liam O’Connor</v>
      </c>
      <c r="E364">
        <v>45</v>
      </c>
      <c r="F364" s="7">
        <f t="shared" si="42"/>
        <v>45</v>
      </c>
      <c r="G364" t="s">
        <v>62</v>
      </c>
      <c r="H364" s="7" t="str">
        <f t="shared" si="43"/>
        <v>Ireland</v>
      </c>
      <c r="I364" t="s">
        <v>417</v>
      </c>
      <c r="J364" s="7" t="str">
        <f>TEXT(
  IFERROR(
    DATEVALUE(SUBSTITUTE(SUBSTITUTE(TRIM(I364),"T"," "),"Z","")),
    IFERROR(
      DATE(
        RIGHT(TRIM(I364),4),
        MID(TRIM(I364),4,2),
        LEFT(TRIM(I364),2)
      ),
      DATE(
        VALUE(RIGHT(TRIM(I364),4)),
        MATCH(LEFT(TRIM(I364),FIND(" ",TRIM(I364))-1),
          {"January","February","March","April","May","June","July","August","September","October","November","December"},0),
        VALUE(MID(TRIM(I364),
          FIND(" ",TRIM(I364))+1,
          FIND(" ",TRIM(I364),FIND(" ",TRIM(I364))+1)-FIND(" ",TRIM(I364))-1))
      )
    )
  ),
"yyyy-mm-dd")</f>
        <v>2023-08-06</v>
      </c>
      <c r="K364" s="5" t="str">
        <f t="shared" si="44"/>
        <v>Aug</v>
      </c>
      <c r="L364">
        <v>1688685548</v>
      </c>
      <c r="M364" s="11">
        <f t="shared" si="45"/>
        <v>45113.971620370372</v>
      </c>
      <c r="N364">
        <v>814.11</v>
      </c>
      <c r="O364" s="7">
        <f t="shared" si="46"/>
        <v>814.11</v>
      </c>
      <c r="P364" t="s">
        <v>36</v>
      </c>
      <c r="Q364" s="7" t="str">
        <f t="shared" si="47"/>
        <v>Regular shopper</v>
      </c>
    </row>
    <row r="365" spans="1:17">
      <c r="A365">
        <v>1631</v>
      </c>
      <c r="B365" t="s">
        <v>90</v>
      </c>
      <c r="C365" s="9" t="str">
        <f t="shared" si="40"/>
        <v>Olivia Wilson</v>
      </c>
      <c r="D365" s="7" t="str">
        <f t="shared" si="41"/>
        <v>Olivia Wilson</v>
      </c>
      <c r="E365">
        <v>27</v>
      </c>
      <c r="F365" s="7">
        <f t="shared" si="42"/>
        <v>27</v>
      </c>
      <c r="G365" t="s">
        <v>29</v>
      </c>
      <c r="H365" s="7" t="str">
        <f t="shared" si="43"/>
        <v>United States</v>
      </c>
      <c r="I365" t="s">
        <v>418</v>
      </c>
      <c r="J365" s="7" t="str">
        <f>TEXT(
  IFERROR(
    DATEVALUE(SUBSTITUTE(SUBSTITUTE(TRIM(I365),"T"," "),"Z","")),
    IFERROR(
      DATE(
        RIGHT(TRIM(I365),4),
        MID(TRIM(I365),4,2),
        LEFT(TRIM(I365),2)
      ),
      DATE(
        VALUE(RIGHT(TRIM(I365),4)),
        MATCH(LEFT(TRIM(I365),FIND(" ",TRIM(I365))-1),
          {"January","February","March","April","May","June","July","August","September","October","November","December"},0),
        VALUE(MID(TRIM(I365),
          FIND(" ",TRIM(I365))+1,
          FIND(" ",TRIM(I365),FIND(" ",TRIM(I365))+1)-FIND(" ",TRIM(I365))-1))
      )
    )
  ),
"yyyy-mm-dd")</f>
        <v>2023-09-25</v>
      </c>
      <c r="K365" s="5" t="str">
        <f t="shared" si="44"/>
        <v>Sep</v>
      </c>
      <c r="L365">
        <v>1684062863</v>
      </c>
      <c r="M365" s="11">
        <f t="shared" si="45"/>
        <v>45060.468321759261</v>
      </c>
      <c r="N365">
        <v>437.28</v>
      </c>
      <c r="O365" s="7">
        <f t="shared" si="46"/>
        <v>437.28</v>
      </c>
      <c r="P365" t="s">
        <v>36</v>
      </c>
      <c r="Q365" s="7" t="str">
        <f t="shared" si="47"/>
        <v>Regular shopper</v>
      </c>
    </row>
    <row r="366" spans="1:17">
      <c r="A366">
        <v>1978</v>
      </c>
      <c r="B366" t="s">
        <v>240</v>
      </c>
      <c r="C366" s="9" t="str">
        <f t="shared" si="40"/>
        <v>Fatima Ali</v>
      </c>
      <c r="D366" s="7" t="str">
        <f t="shared" si="41"/>
        <v xml:space="preserve"> Fatima Ali </v>
      </c>
      <c r="E366">
        <v>36</v>
      </c>
      <c r="F366" s="7">
        <f t="shared" si="42"/>
        <v>36</v>
      </c>
      <c r="G366" t="s">
        <v>38</v>
      </c>
      <c r="H366" s="7" t="str">
        <f t="shared" si="43"/>
        <v>Spain</v>
      </c>
      <c r="I366" t="s">
        <v>419</v>
      </c>
      <c r="J366" s="7" t="str">
        <f>TEXT(
  IFERROR(
    DATEVALUE(SUBSTITUTE(SUBSTITUTE(TRIM(I366),"T"," "),"Z","")),
    IFERROR(
      DATE(
        RIGHT(TRIM(I366),4),
        MID(TRIM(I366),4,2),
        LEFT(TRIM(I366),2)
      ),
      DATE(
        VALUE(RIGHT(TRIM(I366),4)),
        MATCH(LEFT(TRIM(I366),FIND(" ",TRIM(I366))-1),
          {"January","February","March","April","May","June","July","August","September","October","November","December"},0),
        VALUE(MID(TRIM(I366),
          FIND(" ",TRIM(I366))+1,
          FIND(" ",TRIM(I366),FIND(" ",TRIM(I366))+1)-FIND(" ",TRIM(I366))-1))
      )
    )
  ),
"yyyy-mm-dd")</f>
        <v>2023-01-04</v>
      </c>
      <c r="K366" s="5" t="str">
        <f t="shared" si="44"/>
        <v>Jan</v>
      </c>
      <c r="L366">
        <v>1685061408</v>
      </c>
      <c r="M366" s="11">
        <f t="shared" si="45"/>
        <v>45072.025555555556</v>
      </c>
      <c r="O366" s="7">
        <f t="shared" si="46"/>
        <v>0</v>
      </c>
      <c r="P366" t="s">
        <v>118</v>
      </c>
      <c r="Q366" s="7" t="str">
        <f t="shared" si="47"/>
        <v>High engagement</v>
      </c>
    </row>
    <row r="367" spans="1:17">
      <c r="A367">
        <v>2090</v>
      </c>
      <c r="B367" t="s">
        <v>37</v>
      </c>
      <c r="C367" s="9" t="str">
        <f t="shared" si="40"/>
        <v>Akira Tanaka</v>
      </c>
      <c r="D367" s="7" t="str">
        <f t="shared" si="41"/>
        <v>Akira Tanaka</v>
      </c>
      <c r="E367">
        <v>22</v>
      </c>
      <c r="F367" s="7">
        <f t="shared" si="42"/>
        <v>22</v>
      </c>
      <c r="G367" t="s">
        <v>102</v>
      </c>
      <c r="H367" s="7" t="str">
        <f t="shared" si="43"/>
        <v>Mexico</v>
      </c>
      <c r="I367" t="s">
        <v>420</v>
      </c>
      <c r="J367" s="7" t="str">
        <f>TEXT(
  IFERROR(
    DATEVALUE(SUBSTITUTE(SUBSTITUTE(TRIM(I367),"T"," "),"Z","")),
    IFERROR(
      DATE(
        RIGHT(TRIM(I367),4),
        MID(TRIM(I367),4,2),
        LEFT(TRIM(I367),2)
      ),
      DATE(
        VALUE(RIGHT(TRIM(I367),4)),
        MATCH(LEFT(TRIM(I367),FIND(" ",TRIM(I367))-1),
          {"January","February","March","April","May","June","July","August","September","October","November","December"},0),
        VALUE(MID(TRIM(I367),
          FIND(" ",TRIM(I367))+1,
          FIND(" ",TRIM(I367),FIND(" ",TRIM(I367))+1)-FIND(" ",TRIM(I367))-1))
      )
    )
  ),
"yyyy-mm-dd")</f>
        <v>2023-02-26</v>
      </c>
      <c r="K367" s="5" t="str">
        <f t="shared" si="44"/>
        <v>Feb</v>
      </c>
      <c r="L367">
        <v>1693251559</v>
      </c>
      <c r="M367" s="11">
        <f t="shared" si="45"/>
        <v>45166.818969907406</v>
      </c>
      <c r="O367" s="7">
        <f t="shared" si="46"/>
        <v>0</v>
      </c>
      <c r="P367" t="s">
        <v>40</v>
      </c>
      <c r="Q367" s="7" t="str">
        <f t="shared" si="47"/>
        <v xml:space="preserve">VIP client </v>
      </c>
    </row>
    <row r="368" spans="1:17">
      <c r="A368">
        <v>1185</v>
      </c>
      <c r="B368" t="s">
        <v>43</v>
      </c>
      <c r="C368" s="9" t="str">
        <f t="shared" si="40"/>
        <v>Carlos García</v>
      </c>
      <c r="D368" s="7" t="str">
        <f t="shared" si="41"/>
        <v xml:space="preserve"> Carlos García </v>
      </c>
      <c r="F368" s="7">
        <f t="shared" si="42"/>
        <v>43</v>
      </c>
      <c r="G368" t="s">
        <v>102</v>
      </c>
      <c r="H368" s="7" t="str">
        <f t="shared" si="43"/>
        <v>Mexico</v>
      </c>
      <c r="I368" t="s">
        <v>421</v>
      </c>
      <c r="J368" s="7" t="str">
        <f>TEXT(
  IFERROR(
    DATEVALUE(SUBSTITUTE(SUBSTITUTE(TRIM(I368),"T"," "),"Z","")),
    IFERROR(
      DATE(
        RIGHT(TRIM(I368),4),
        MID(TRIM(I368),4,2),
        LEFT(TRIM(I368),2)
      ),
      DATE(
        VALUE(RIGHT(TRIM(I368),4)),
        MATCH(LEFT(TRIM(I368),FIND(" ",TRIM(I368))-1),
          {"January","February","March","April","May","June","July","August","September","October","November","December"},0),
        VALUE(MID(TRIM(I368),
          FIND(" ",TRIM(I368))+1,
          FIND(" ",TRIM(I368),FIND(" ",TRIM(I368))+1)-FIND(" ",TRIM(I368))-1))
      )
    )
  ),
"yyyy-mm-dd")</f>
        <v>2023-09-13</v>
      </c>
      <c r="K368" s="5" t="str">
        <f t="shared" si="44"/>
        <v>Sep</v>
      </c>
      <c r="L368">
        <v>1688082668</v>
      </c>
      <c r="M368" s="11">
        <f t="shared" si="45"/>
        <v>45106.993842592594</v>
      </c>
      <c r="N368">
        <v>1048.43</v>
      </c>
      <c r="O368" s="7">
        <f t="shared" si="46"/>
        <v>1048.43</v>
      </c>
      <c r="P368" t="s">
        <v>84</v>
      </c>
      <c r="Q368" s="7" t="str">
        <f t="shared" si="47"/>
        <v xml:space="preserve">Newsletter subscriber </v>
      </c>
    </row>
    <row r="369" spans="1:17">
      <c r="A369">
        <v>1165</v>
      </c>
      <c r="B369" t="s">
        <v>82</v>
      </c>
      <c r="C369" s="9" t="str">
        <f t="shared" si="40"/>
        <v>Björn Larsson</v>
      </c>
      <c r="D369" s="7" t="str">
        <f t="shared" si="41"/>
        <v>Björn Larsson</v>
      </c>
      <c r="F369" s="7">
        <f t="shared" si="42"/>
        <v>43</v>
      </c>
      <c r="G369" t="s">
        <v>29</v>
      </c>
      <c r="H369" s="7" t="str">
        <f t="shared" si="43"/>
        <v>United States</v>
      </c>
      <c r="I369" t="s">
        <v>422</v>
      </c>
      <c r="J369" s="7" t="str">
        <f>TEXT(
  IFERROR(
    DATEVALUE(SUBSTITUTE(SUBSTITUTE(TRIM(I369),"T"," "),"Z","")),
    IFERROR(
      DATE(
        RIGHT(TRIM(I369),4),
        MID(TRIM(I369),4,2),
        LEFT(TRIM(I369),2)
      ),
      DATE(
        VALUE(RIGHT(TRIM(I369),4)),
        MATCH(LEFT(TRIM(I369),FIND(" ",TRIM(I369))-1),
          {"January","February","March","April","May","June","July","August","September","October","November","December"},0),
        VALUE(MID(TRIM(I369),
          FIND(" ",TRIM(I369))+1,
          FIND(" ",TRIM(I369),FIND(" ",TRIM(I369))+1)-FIND(" ",TRIM(I369))-1))
      )
    )
  ),
"yyyy-mm-dd")</f>
        <v>2023-10-06</v>
      </c>
      <c r="K369" s="5" t="str">
        <f t="shared" si="44"/>
        <v>Oct</v>
      </c>
      <c r="L369">
        <v>1678617610</v>
      </c>
      <c r="M369" s="11">
        <f t="shared" si="45"/>
        <v>44997.444560185184</v>
      </c>
      <c r="O369" s="7">
        <f t="shared" si="46"/>
        <v>0</v>
      </c>
      <c r="P369" t="s">
        <v>118</v>
      </c>
      <c r="Q369" s="7" t="str">
        <f t="shared" si="47"/>
        <v>High engagement</v>
      </c>
    </row>
    <row r="370" spans="1:17">
      <c r="A370">
        <v>1026</v>
      </c>
      <c r="B370" t="s">
        <v>140</v>
      </c>
      <c r="C370" s="9" t="str">
        <f t="shared" si="40"/>
        <v>Anne Müller</v>
      </c>
      <c r="D370" s="7" t="str">
        <f t="shared" si="41"/>
        <v>Anne Müller</v>
      </c>
      <c r="F370" s="7">
        <f t="shared" si="42"/>
        <v>43</v>
      </c>
      <c r="G370" t="s">
        <v>111</v>
      </c>
      <c r="H370" s="7" t="str">
        <f t="shared" si="43"/>
        <v>South Korea</v>
      </c>
      <c r="I370" t="s">
        <v>423</v>
      </c>
      <c r="J370" s="7" t="str">
        <f>TEXT(
  IFERROR(
    DATEVALUE(SUBSTITUTE(SUBSTITUTE(TRIM(I370),"T"," "),"Z","")),
    IFERROR(
      DATE(
        RIGHT(TRIM(I370),4),
        MID(TRIM(I370),4,2),
        LEFT(TRIM(I370),2)
      ),
      DATE(
        VALUE(RIGHT(TRIM(I370),4)),
        MATCH(LEFT(TRIM(I370),FIND(" ",TRIM(I370))-1),
          {"January","February","March","April","May","June","July","August","September","October","November","December"},0),
        VALUE(MID(TRIM(I370),
          FIND(" ",TRIM(I370))+1,
          FIND(" ",TRIM(I370),FIND(" ",TRIM(I370))+1)-FIND(" ",TRIM(I370))-1))
      )
    )
  ),
"yyyy-mm-dd")</f>
        <v>2023-05-07</v>
      </c>
      <c r="K370" s="5" t="str">
        <f t="shared" si="44"/>
        <v>May</v>
      </c>
      <c r="L370">
        <v>1679207367</v>
      </c>
      <c r="M370" s="11">
        <f t="shared" si="45"/>
        <v>45004.270451388889</v>
      </c>
      <c r="N370">
        <v>696.64</v>
      </c>
      <c r="O370" s="7">
        <f t="shared" si="46"/>
        <v>696.64</v>
      </c>
      <c r="P370" t="s">
        <v>46</v>
      </c>
      <c r="Q370" s="7" t="str">
        <f t="shared" si="47"/>
        <v>Corporate account</v>
      </c>
    </row>
    <row r="371" spans="1:17">
      <c r="A371">
        <v>1427</v>
      </c>
      <c r="B371" t="s">
        <v>131</v>
      </c>
      <c r="C371" s="9" t="str">
        <f t="shared" si="40"/>
        <v>Isabella Martinez</v>
      </c>
      <c r="D371" s="7" t="str">
        <f t="shared" si="41"/>
        <v>Isabella Martinez</v>
      </c>
      <c r="E371">
        <v>37</v>
      </c>
      <c r="F371" s="7">
        <f t="shared" si="42"/>
        <v>37</v>
      </c>
      <c r="G371" t="s">
        <v>29</v>
      </c>
      <c r="H371" s="7" t="str">
        <f t="shared" si="43"/>
        <v>United States</v>
      </c>
      <c r="I371" t="s">
        <v>424</v>
      </c>
      <c r="J371" s="7" t="str">
        <f>TEXT(
  IFERROR(
    DATEVALUE(SUBSTITUTE(SUBSTITUTE(TRIM(I371),"T"," "),"Z","")),
    IFERROR(
      DATE(
        RIGHT(TRIM(I371),4),
        MID(TRIM(I371),4,2),
        LEFT(TRIM(I371),2)
      ),
      DATE(
        VALUE(RIGHT(TRIM(I371),4)),
        MATCH(LEFT(TRIM(I371),FIND(" ",TRIM(I371))-1),
          {"January","February","March","April","May","June","July","August","September","October","November","December"},0),
        VALUE(MID(TRIM(I371),
          FIND(" ",TRIM(I371))+1,
          FIND(" ",TRIM(I371),FIND(" ",TRIM(I371))+1)-FIND(" ",TRIM(I371))-1))
      )
    )
  ),
"yyyy-mm-dd")</f>
        <v>2023-10-09</v>
      </c>
      <c r="K371" s="5" t="str">
        <f t="shared" si="44"/>
        <v>Oct</v>
      </c>
      <c r="L371">
        <v>1676622389</v>
      </c>
      <c r="M371" s="11">
        <f t="shared" si="45"/>
        <v>44974.351724537039</v>
      </c>
      <c r="O371" s="7">
        <f t="shared" si="46"/>
        <v>0</v>
      </c>
      <c r="P371" t="s">
        <v>40</v>
      </c>
      <c r="Q371" s="7" t="str">
        <f t="shared" si="47"/>
        <v xml:space="preserve">VIP client </v>
      </c>
    </row>
    <row r="372" spans="1:17">
      <c r="A372">
        <v>1739</v>
      </c>
      <c r="B372" t="s">
        <v>28</v>
      </c>
      <c r="C372" s="9" t="str">
        <f t="shared" si="40"/>
        <v>Maria Lopez</v>
      </c>
      <c r="D372" s="7" t="str">
        <f t="shared" si="41"/>
        <v>Maria Lopez</v>
      </c>
      <c r="E372">
        <v>31</v>
      </c>
      <c r="F372" s="7">
        <f t="shared" si="42"/>
        <v>31</v>
      </c>
      <c r="G372" t="s">
        <v>44</v>
      </c>
      <c r="H372" s="7" t="str">
        <f t="shared" si="43"/>
        <v>UAE</v>
      </c>
      <c r="I372" t="s">
        <v>425</v>
      </c>
      <c r="J372" s="7" t="str">
        <f>TEXT(
  IFERROR(
    DATEVALUE(SUBSTITUTE(SUBSTITUTE(TRIM(I372),"T"," "),"Z","")),
    IFERROR(
      DATE(
        RIGHT(TRIM(I372),4),
        MID(TRIM(I372),4,2),
        LEFT(TRIM(I372),2)
      ),
      DATE(
        VALUE(RIGHT(TRIM(I372),4)),
        MATCH(LEFT(TRIM(I372),FIND(" ",TRIM(I372))-1),
          {"January","February","March","April","May","June","July","August","September","October","November","December"},0),
        VALUE(MID(TRIM(I372),
          FIND(" ",TRIM(I372))+1,
          FIND(" ",TRIM(I372),FIND(" ",TRIM(I372))+1)-FIND(" ",TRIM(I372))-1))
      )
    )
  ),
"yyyy-mm-dd")</f>
        <v>2023-06-16</v>
      </c>
      <c r="K372" s="5" t="str">
        <f t="shared" si="44"/>
        <v>Jun</v>
      </c>
      <c r="L372">
        <v>1678139681</v>
      </c>
      <c r="M372" s="11">
        <f t="shared" si="45"/>
        <v>44991.912974537037</v>
      </c>
      <c r="N372">
        <v>1193.6400000000001</v>
      </c>
      <c r="O372" s="7">
        <f t="shared" si="46"/>
        <v>1193.6400000000001</v>
      </c>
      <c r="P372" t="s">
        <v>118</v>
      </c>
      <c r="Q372" s="7" t="str">
        <f t="shared" si="47"/>
        <v>High engagement</v>
      </c>
    </row>
    <row r="373" spans="1:17">
      <c r="A373">
        <v>1649</v>
      </c>
      <c r="B373" t="s">
        <v>148</v>
      </c>
      <c r="C373" s="9" t="str">
        <f t="shared" si="40"/>
        <v>Chloe Dubois</v>
      </c>
      <c r="D373" s="7" t="str">
        <f t="shared" si="41"/>
        <v>Chloe Dubois</v>
      </c>
      <c r="E373">
        <v>46</v>
      </c>
      <c r="F373" s="7">
        <f t="shared" si="42"/>
        <v>46</v>
      </c>
      <c r="G373" t="s">
        <v>22</v>
      </c>
      <c r="H373" s="7" t="str">
        <f t="shared" si="43"/>
        <v>Germany</v>
      </c>
      <c r="I373" t="s">
        <v>426</v>
      </c>
      <c r="J373" s="7" t="str">
        <f>TEXT(
  IFERROR(
    DATEVALUE(SUBSTITUTE(SUBSTITUTE(TRIM(I373),"T"," "),"Z","")),
    IFERROR(
      DATE(
        RIGHT(TRIM(I373),4),
        MID(TRIM(I373),4,2),
        LEFT(TRIM(I373),2)
      ),
      DATE(
        VALUE(RIGHT(TRIM(I373),4)),
        MATCH(LEFT(TRIM(I373),FIND(" ",TRIM(I373))-1),
          {"January","February","March","April","May","June","July","August","September","October","November","December"},0),
        VALUE(MID(TRIM(I373),
          FIND(" ",TRIM(I373))+1,
          FIND(" ",TRIM(I373),FIND(" ",TRIM(I373))+1)-FIND(" ",TRIM(I373))-1))
      )
    )
  ),
"yyyy-mm-dd")</f>
        <v>2023-01-11</v>
      </c>
      <c r="K373" s="5" t="str">
        <f t="shared" si="44"/>
        <v>Jan</v>
      </c>
      <c r="L373">
        <v>1684542106</v>
      </c>
      <c r="M373" s="11">
        <f t="shared" si="45"/>
        <v>45066.015115740738</v>
      </c>
      <c r="O373" s="7">
        <f t="shared" si="46"/>
        <v>0</v>
      </c>
      <c r="P373" t="s">
        <v>20</v>
      </c>
      <c r="Q373" s="7" t="str">
        <f t="shared" si="47"/>
        <v xml:space="preserve">Great customer </v>
      </c>
    </row>
    <row r="374" spans="1:17">
      <c r="A374">
        <v>1994</v>
      </c>
      <c r="B374" t="s">
        <v>24</v>
      </c>
      <c r="C374" s="9" t="str">
        <f t="shared" si="40"/>
        <v>Renée Dupont</v>
      </c>
      <c r="D374" s="7" t="str">
        <f t="shared" si="41"/>
        <v>Renée Dupont</v>
      </c>
      <c r="E374">
        <v>52</v>
      </c>
      <c r="F374" s="7">
        <f t="shared" si="42"/>
        <v>52</v>
      </c>
      <c r="G374" t="s">
        <v>60</v>
      </c>
      <c r="H374" s="7" t="str">
        <f t="shared" si="43"/>
        <v>Egypt</v>
      </c>
      <c r="I374" t="s">
        <v>71</v>
      </c>
      <c r="J374" s="7" t="str">
        <f>TEXT(
  IFERROR(
    DATEVALUE(SUBSTITUTE(SUBSTITUTE(TRIM(I374),"T"," "),"Z","")),
    IFERROR(
      DATE(
        RIGHT(TRIM(I374),4),
        MID(TRIM(I374),4,2),
        LEFT(TRIM(I374),2)
      ),
      DATE(
        VALUE(RIGHT(TRIM(I374),4)),
        MATCH(LEFT(TRIM(I374),FIND(" ",TRIM(I374))-1),
          {"January","February","March","April","May","June","July","August","September","October","November","December"},0),
        VALUE(MID(TRIM(I374),
          FIND(" ",TRIM(I374))+1,
          FIND(" ",TRIM(I374),FIND(" ",TRIM(I374))+1)-FIND(" ",TRIM(I374))-1))
      )
    )
  ),
"yyyy-mm-dd")</f>
        <v>2023-04-08</v>
      </c>
      <c r="K374" s="5" t="str">
        <f t="shared" si="44"/>
        <v>Apr</v>
      </c>
      <c r="L374">
        <v>1678786153</v>
      </c>
      <c r="M374" s="11">
        <f t="shared" si="45"/>
        <v>44999.395289351851</v>
      </c>
      <c r="O374" s="7">
        <f t="shared" si="46"/>
        <v>0</v>
      </c>
      <c r="P374" t="s">
        <v>36</v>
      </c>
      <c r="Q374" s="7" t="str">
        <f t="shared" si="47"/>
        <v>Regular shopper</v>
      </c>
    </row>
    <row r="375" spans="1:17">
      <c r="A375">
        <v>1002</v>
      </c>
      <c r="B375" t="s">
        <v>82</v>
      </c>
      <c r="C375" s="9" t="str">
        <f t="shared" si="40"/>
        <v>Björn Larsson</v>
      </c>
      <c r="D375" s="7" t="str">
        <f t="shared" si="41"/>
        <v>Björn Larsson</v>
      </c>
      <c r="E375">
        <v>42</v>
      </c>
      <c r="F375" s="7">
        <f t="shared" si="42"/>
        <v>42</v>
      </c>
      <c r="G375" t="s">
        <v>29</v>
      </c>
      <c r="H375" s="7" t="str">
        <f t="shared" si="43"/>
        <v>United States</v>
      </c>
      <c r="I375" t="s">
        <v>427</v>
      </c>
      <c r="J375" s="7" t="str">
        <f>TEXT(
  IFERROR(
    DATEVALUE(SUBSTITUTE(SUBSTITUTE(TRIM(I375),"T"," "),"Z","")),
    IFERROR(
      DATE(
        RIGHT(TRIM(I375),4),
        MID(TRIM(I375),4,2),
        LEFT(TRIM(I375),2)
      ),
      DATE(
        VALUE(RIGHT(TRIM(I375),4)),
        MATCH(LEFT(TRIM(I375),FIND(" ",TRIM(I375))-1),
          {"January","February","March","April","May","June","July","August","September","October","November","December"},0),
        VALUE(MID(TRIM(I375),
          FIND(" ",TRIM(I375))+1,
          FIND(" ",TRIM(I375),FIND(" ",TRIM(I375))+1)-FIND(" ",TRIM(I375))-1))
      )
    )
  ),
"yyyy-mm-dd")</f>
        <v>2023-11-14</v>
      </c>
      <c r="K375" s="5" t="str">
        <f t="shared" si="44"/>
        <v>Nov</v>
      </c>
      <c r="L375">
        <v>1698562795</v>
      </c>
      <c r="M375" s="11">
        <f t="shared" si="45"/>
        <v>45228.291608796295</v>
      </c>
      <c r="O375" s="7">
        <f t="shared" si="46"/>
        <v>0</v>
      </c>
      <c r="P375" t="s">
        <v>52</v>
      </c>
      <c r="Q375" s="7" t="str">
        <f t="shared" si="47"/>
        <v xml:space="preserve">Prefers email </v>
      </c>
    </row>
    <row r="376" spans="1:17">
      <c r="A376">
        <v>2104</v>
      </c>
      <c r="B376" t="s">
        <v>198</v>
      </c>
      <c r="C376" s="9" t="str">
        <f t="shared" si="40"/>
        <v>Noah Martin</v>
      </c>
      <c r="D376" s="7" t="str">
        <f t="shared" si="41"/>
        <v xml:space="preserve"> Noah Martin </v>
      </c>
      <c r="E376">
        <v>49</v>
      </c>
      <c r="F376" s="7">
        <f t="shared" si="42"/>
        <v>49</v>
      </c>
      <c r="G376" t="s">
        <v>18</v>
      </c>
      <c r="H376" s="7" t="str">
        <f t="shared" si="43"/>
        <v>United Kingdom</v>
      </c>
      <c r="I376" t="s">
        <v>243</v>
      </c>
      <c r="J376" s="7" t="str">
        <f>TEXT(
  IFERROR(
    DATEVALUE(SUBSTITUTE(SUBSTITUTE(TRIM(I376),"T"," "),"Z","")),
    IFERROR(
      DATE(
        RIGHT(TRIM(I376),4),
        MID(TRIM(I376),4,2),
        LEFT(TRIM(I376),2)
      ),
      DATE(
        VALUE(RIGHT(TRIM(I376),4)),
        MATCH(LEFT(TRIM(I376),FIND(" ",TRIM(I376))-1),
          {"January","February","March","April","May","June","July","August","September","October","November","December"},0),
        VALUE(MID(TRIM(I376),
          FIND(" ",TRIM(I376))+1,
          FIND(" ",TRIM(I376),FIND(" ",TRIM(I376))+1)-FIND(" ",TRIM(I376))-1))
      )
    )
  ),
"yyyy-mm-dd")</f>
        <v>2023-10-11</v>
      </c>
      <c r="K376" s="5" t="str">
        <f t="shared" si="44"/>
        <v>Oct</v>
      </c>
      <c r="L376">
        <v>1683348661</v>
      </c>
      <c r="M376" s="11">
        <f t="shared" si="45"/>
        <v>45052.202094907407</v>
      </c>
      <c r="O376" s="7">
        <f t="shared" si="46"/>
        <v>0</v>
      </c>
      <c r="P376" t="s">
        <v>52</v>
      </c>
      <c r="Q376" s="7" t="str">
        <f t="shared" si="47"/>
        <v xml:space="preserve">Prefers email </v>
      </c>
    </row>
    <row r="377" spans="1:17">
      <c r="A377">
        <v>1198</v>
      </c>
      <c r="B377" t="s">
        <v>80</v>
      </c>
      <c r="C377" s="9" t="str">
        <f t="shared" si="40"/>
        <v>Ahmed Hassan</v>
      </c>
      <c r="D377" s="7" t="str">
        <f t="shared" si="41"/>
        <v>Ahmed Hassan</v>
      </c>
      <c r="E377">
        <v>20</v>
      </c>
      <c r="F377" s="7">
        <f t="shared" si="42"/>
        <v>20</v>
      </c>
      <c r="G377" t="s">
        <v>29</v>
      </c>
      <c r="H377" s="7" t="str">
        <f t="shared" si="43"/>
        <v>United States</v>
      </c>
      <c r="I377" t="s">
        <v>428</v>
      </c>
      <c r="J377" s="7" t="str">
        <f>TEXT(
  IFERROR(
    DATEVALUE(SUBSTITUTE(SUBSTITUTE(TRIM(I377),"T"," "),"Z","")),
    IFERROR(
      DATE(
        RIGHT(TRIM(I377),4),
        MID(TRIM(I377),4,2),
        LEFT(TRIM(I377),2)
      ),
      DATE(
        VALUE(RIGHT(TRIM(I377),4)),
        MATCH(LEFT(TRIM(I377),FIND(" ",TRIM(I377))-1),
          {"January","February","March","April","May","June","July","August","September","October","November","December"},0),
        VALUE(MID(TRIM(I377),
          FIND(" ",TRIM(I377))+1,
          FIND(" ",TRIM(I377),FIND(" ",TRIM(I377))+1)-FIND(" ",TRIM(I377))-1))
      )
    )
  ),
"yyyy-mm-dd")</f>
        <v>2023-04-14</v>
      </c>
      <c r="K377" s="5" t="str">
        <f t="shared" si="44"/>
        <v>Apr</v>
      </c>
      <c r="L377">
        <v>1688810324</v>
      </c>
      <c r="M377" s="11">
        <f t="shared" si="45"/>
        <v>45115.41578703704</v>
      </c>
      <c r="N377">
        <v>295.51</v>
      </c>
      <c r="O377" s="7">
        <f t="shared" si="46"/>
        <v>295.51</v>
      </c>
      <c r="P377" t="s">
        <v>27</v>
      </c>
      <c r="Q377" s="7" t="str">
        <f t="shared" si="47"/>
        <v xml:space="preserve">Holiday signup </v>
      </c>
    </row>
    <row r="378" spans="1:17">
      <c r="A378">
        <v>1796</v>
      </c>
      <c r="B378" t="s">
        <v>101</v>
      </c>
      <c r="C378" s="9" t="str">
        <f t="shared" si="40"/>
        <v>Zoë Kravitz</v>
      </c>
      <c r="D378" s="7" t="str">
        <f t="shared" si="41"/>
        <v>Zoë Kravitz</v>
      </c>
      <c r="E378">
        <v>62</v>
      </c>
      <c r="F378" s="7">
        <f t="shared" si="42"/>
        <v>62</v>
      </c>
      <c r="G378" t="s">
        <v>54</v>
      </c>
      <c r="H378" s="7" t="str">
        <f t="shared" si="43"/>
        <v>Brazil</v>
      </c>
      <c r="I378" t="s">
        <v>429</v>
      </c>
      <c r="J378" s="7" t="str">
        <f>TEXT(
  IFERROR(
    DATEVALUE(SUBSTITUTE(SUBSTITUTE(TRIM(I378),"T"," "),"Z","")),
    IFERROR(
      DATE(
        RIGHT(TRIM(I378),4),
        MID(TRIM(I378),4,2),
        LEFT(TRIM(I378),2)
      ),
      DATE(
        VALUE(RIGHT(TRIM(I378),4)),
        MATCH(LEFT(TRIM(I378),FIND(" ",TRIM(I378))-1),
          {"January","February","March","April","May","June","July","August","September","October","November","December"},0),
        VALUE(MID(TRIM(I378),
          FIND(" ",TRIM(I378))+1,
          FIND(" ",TRIM(I378),FIND(" ",TRIM(I378))+1)-FIND(" ",TRIM(I378))-1))
      )
    )
  ),
"yyyy-mm-dd")</f>
        <v>2023-01-26</v>
      </c>
      <c r="K378" s="5" t="str">
        <f t="shared" si="44"/>
        <v>Jan</v>
      </c>
      <c r="L378">
        <v>1679930227</v>
      </c>
      <c r="M378" s="11">
        <f t="shared" si="45"/>
        <v>45012.636886574073</v>
      </c>
      <c r="N378">
        <v>912.87</v>
      </c>
      <c r="O378" s="7">
        <f t="shared" si="46"/>
        <v>912.87</v>
      </c>
      <c r="P378" t="s">
        <v>20</v>
      </c>
      <c r="Q378" s="7" t="str">
        <f t="shared" si="47"/>
        <v xml:space="preserve">Great customer </v>
      </c>
    </row>
    <row r="379" spans="1:17">
      <c r="A379">
        <v>1428</v>
      </c>
      <c r="B379" t="s">
        <v>185</v>
      </c>
      <c r="C379" s="9" t="str">
        <f t="shared" si="40"/>
        <v>Liam O’Connor</v>
      </c>
      <c r="D379" s="7" t="str">
        <f t="shared" si="41"/>
        <v>Liam O’Connor</v>
      </c>
      <c r="E379">
        <v>47</v>
      </c>
      <c r="F379" s="7">
        <f t="shared" si="42"/>
        <v>47</v>
      </c>
      <c r="G379" t="s">
        <v>29</v>
      </c>
      <c r="H379" s="7" t="str">
        <f t="shared" si="43"/>
        <v>United States</v>
      </c>
      <c r="I379" t="s">
        <v>430</v>
      </c>
      <c r="J379" s="7" t="str">
        <f>TEXT(
  IFERROR(
    DATEVALUE(SUBSTITUTE(SUBSTITUTE(TRIM(I379),"T"," "),"Z","")),
    IFERROR(
      DATE(
        RIGHT(TRIM(I379),4),
        MID(TRIM(I379),4,2),
        LEFT(TRIM(I379),2)
      ),
      DATE(
        VALUE(RIGHT(TRIM(I379),4)),
        MATCH(LEFT(TRIM(I379),FIND(" ",TRIM(I379))-1),
          {"January","February","March","April","May","June","July","August","September","October","November","December"},0),
        VALUE(MID(TRIM(I379),
          FIND(" ",TRIM(I379))+1,
          FIND(" ",TRIM(I379),FIND(" ",TRIM(I379))+1)-FIND(" ",TRIM(I379))-1))
      )
    )
  ),
"yyyy-mm-dd")</f>
        <v>2023-07-04</v>
      </c>
      <c r="K379" s="5" t="str">
        <f t="shared" si="44"/>
        <v>Jul</v>
      </c>
      <c r="L379">
        <v>1697470963</v>
      </c>
      <c r="M379" s="11">
        <f t="shared" si="45"/>
        <v>45215.654664351852</v>
      </c>
      <c r="O379" s="7">
        <f t="shared" si="46"/>
        <v>0</v>
      </c>
      <c r="P379" t="s">
        <v>84</v>
      </c>
      <c r="Q379" s="7" t="str">
        <f t="shared" si="47"/>
        <v xml:space="preserve">Newsletter subscriber </v>
      </c>
    </row>
    <row r="380" spans="1:17">
      <c r="A380">
        <v>1120</v>
      </c>
      <c r="B380" t="s">
        <v>78</v>
      </c>
      <c r="C380" s="9" t="str">
        <f t="shared" si="40"/>
        <v>Mia Thompson</v>
      </c>
      <c r="D380" s="7" t="str">
        <f t="shared" si="41"/>
        <v xml:space="preserve"> Mia Thompson </v>
      </c>
      <c r="E380">
        <v>20</v>
      </c>
      <c r="F380" s="7">
        <f t="shared" si="42"/>
        <v>20</v>
      </c>
      <c r="G380" t="s">
        <v>102</v>
      </c>
      <c r="H380" s="7" t="str">
        <f t="shared" si="43"/>
        <v>Mexico</v>
      </c>
      <c r="I380" t="s">
        <v>431</v>
      </c>
      <c r="J380" s="7" t="str">
        <f>TEXT(
  IFERROR(
    DATEVALUE(SUBSTITUTE(SUBSTITUTE(TRIM(I380),"T"," "),"Z","")),
    IFERROR(
      DATE(
        RIGHT(TRIM(I380),4),
        MID(TRIM(I380),4,2),
        LEFT(TRIM(I380),2)
      ),
      DATE(
        VALUE(RIGHT(TRIM(I380),4)),
        MATCH(LEFT(TRIM(I380),FIND(" ",TRIM(I380))-1),
          {"January","February","March","April","May","June","July","August","September","October","November","December"},0),
        VALUE(MID(TRIM(I380),
          FIND(" ",TRIM(I380))+1,
          FIND(" ",TRIM(I380),FIND(" ",TRIM(I380))+1)-FIND(" ",TRIM(I380))-1))
      )
    )
  ),
"yyyy-mm-dd")</f>
        <v>2023-02-09</v>
      </c>
      <c r="K380" s="5" t="str">
        <f t="shared" si="44"/>
        <v>Feb</v>
      </c>
      <c r="L380">
        <v>1689955033</v>
      </c>
      <c r="M380" s="11">
        <f t="shared" si="45"/>
        <v>45128.664733796293</v>
      </c>
      <c r="N380">
        <v>154.71</v>
      </c>
      <c r="O380" s="7">
        <f t="shared" si="46"/>
        <v>154.71</v>
      </c>
      <c r="P380" t="s">
        <v>46</v>
      </c>
      <c r="Q380" s="7" t="str">
        <f t="shared" si="47"/>
        <v>Corporate account</v>
      </c>
    </row>
    <row r="381" spans="1:17">
      <c r="A381">
        <v>1790</v>
      </c>
      <c r="B381" t="s">
        <v>21</v>
      </c>
      <c r="C381" s="9" t="str">
        <f t="shared" si="40"/>
        <v>David Brown</v>
      </c>
      <c r="D381" s="7" t="str">
        <f t="shared" si="41"/>
        <v xml:space="preserve"> David Brown </v>
      </c>
      <c r="E381">
        <v>33</v>
      </c>
      <c r="F381" s="7">
        <f t="shared" si="42"/>
        <v>33</v>
      </c>
      <c r="G381" t="s">
        <v>48</v>
      </c>
      <c r="H381" s="7" t="str">
        <f t="shared" si="43"/>
        <v>France</v>
      </c>
      <c r="I381" t="s">
        <v>432</v>
      </c>
      <c r="J381" s="7" t="str">
        <f>TEXT(
  IFERROR(
    DATEVALUE(SUBSTITUTE(SUBSTITUTE(TRIM(I381),"T"," "),"Z","")),
    IFERROR(
      DATE(
        RIGHT(TRIM(I381),4),
        MID(TRIM(I381),4,2),
        LEFT(TRIM(I381),2)
      ),
      DATE(
        VALUE(RIGHT(TRIM(I381),4)),
        MATCH(LEFT(TRIM(I381),FIND(" ",TRIM(I381))-1),
          {"January","February","March","April","May","June","July","August","September","October","November","December"},0),
        VALUE(MID(TRIM(I381),
          FIND(" ",TRIM(I381))+1,
          FIND(" ",TRIM(I381),FIND(" ",TRIM(I381))+1)-FIND(" ",TRIM(I381))-1))
      )
    )
  ),
"yyyy-mm-dd")</f>
        <v>2023-10-13</v>
      </c>
      <c r="K381" s="5" t="str">
        <f t="shared" si="44"/>
        <v>Oct</v>
      </c>
      <c r="L381">
        <v>1686455283</v>
      </c>
      <c r="M381" s="11">
        <f t="shared" si="45"/>
        <v>45088.158368055556</v>
      </c>
      <c r="O381" s="7">
        <f t="shared" si="46"/>
        <v>0</v>
      </c>
      <c r="P381" t="s">
        <v>36</v>
      </c>
      <c r="Q381" s="7" t="str">
        <f t="shared" si="47"/>
        <v>Regular shopper</v>
      </c>
    </row>
    <row r="382" spans="1:17">
      <c r="A382">
        <v>1875</v>
      </c>
      <c r="B382" t="s">
        <v>224</v>
      </c>
      <c r="C382" s="9" t="str">
        <f t="shared" si="40"/>
        <v>Anne Müller</v>
      </c>
      <c r="D382" s="7" t="str">
        <f t="shared" si="41"/>
        <v xml:space="preserve"> Anne Müller </v>
      </c>
      <c r="F382" s="7">
        <f t="shared" si="42"/>
        <v>43</v>
      </c>
      <c r="G382" t="s">
        <v>67</v>
      </c>
      <c r="H382" s="7" t="str">
        <f t="shared" si="43"/>
        <v>Sweden</v>
      </c>
      <c r="I382" t="s">
        <v>433</v>
      </c>
      <c r="J382" s="7" t="str">
        <f>TEXT(
  IFERROR(
    DATEVALUE(SUBSTITUTE(SUBSTITUTE(TRIM(I382),"T"," "),"Z","")),
    IFERROR(
      DATE(
        RIGHT(TRIM(I382),4),
        MID(TRIM(I382),4,2),
        LEFT(TRIM(I382),2)
      ),
      DATE(
        VALUE(RIGHT(TRIM(I382),4)),
        MATCH(LEFT(TRIM(I382),FIND(" ",TRIM(I382))-1),
          {"January","February","March","April","May","June","July","August","September","October","November","December"},0),
        VALUE(MID(TRIM(I382),
          FIND(" ",TRIM(I382))+1,
          FIND(" ",TRIM(I382),FIND(" ",TRIM(I382))+1)-FIND(" ",TRIM(I382))-1))
      )
    )
  ),
"yyyy-mm-dd")</f>
        <v>2023-06-22</v>
      </c>
      <c r="K382" s="5" t="str">
        <f t="shared" si="44"/>
        <v>Jun</v>
      </c>
      <c r="L382">
        <v>1690438727</v>
      </c>
      <c r="M382" s="11">
        <f t="shared" si="45"/>
        <v>45134.263043981482</v>
      </c>
      <c r="O382" s="7">
        <f t="shared" si="46"/>
        <v>0</v>
      </c>
      <c r="P382" t="s">
        <v>84</v>
      </c>
      <c r="Q382" s="7" t="str">
        <f t="shared" si="47"/>
        <v xml:space="preserve">Newsletter subscriber </v>
      </c>
    </row>
    <row r="383" spans="1:17">
      <c r="A383">
        <v>1646</v>
      </c>
      <c r="B383" t="s">
        <v>148</v>
      </c>
      <c r="C383" s="9" t="str">
        <f t="shared" si="40"/>
        <v>Chloe Dubois</v>
      </c>
      <c r="D383" s="7" t="str">
        <f t="shared" si="41"/>
        <v>Chloe Dubois</v>
      </c>
      <c r="F383" s="7">
        <f t="shared" si="42"/>
        <v>43</v>
      </c>
      <c r="G383" t="s">
        <v>44</v>
      </c>
      <c r="H383" s="7" t="str">
        <f t="shared" si="43"/>
        <v>UAE</v>
      </c>
      <c r="I383" t="s">
        <v>149</v>
      </c>
      <c r="J383" s="7" t="str">
        <f>TEXT(
  IFERROR(
    DATEVALUE(SUBSTITUTE(SUBSTITUTE(TRIM(I383),"T"," "),"Z","")),
    IFERROR(
      DATE(
        RIGHT(TRIM(I383),4),
        MID(TRIM(I383),4,2),
        LEFT(TRIM(I383),2)
      ),
      DATE(
        VALUE(RIGHT(TRIM(I383),4)),
        MATCH(LEFT(TRIM(I383),FIND(" ",TRIM(I383))-1),
          {"January","February","March","April","May","June","July","August","September","October","November","December"},0),
        VALUE(MID(TRIM(I383),
          FIND(" ",TRIM(I383))+1,
          FIND(" ",TRIM(I383),FIND(" ",TRIM(I383))+1)-FIND(" ",TRIM(I383))-1))
      )
    )
  ),
"yyyy-mm-dd")</f>
        <v>2023-06-15</v>
      </c>
      <c r="K383" s="5" t="str">
        <f t="shared" si="44"/>
        <v>Jun</v>
      </c>
      <c r="L383">
        <v>1680601308</v>
      </c>
      <c r="M383" s="11">
        <f t="shared" si="45"/>
        <v>45020.404027777782</v>
      </c>
      <c r="N383">
        <v>849.09</v>
      </c>
      <c r="O383" s="7">
        <f t="shared" si="46"/>
        <v>849.09</v>
      </c>
      <c r="P383" t="s">
        <v>118</v>
      </c>
      <c r="Q383" s="7" t="str">
        <f t="shared" si="47"/>
        <v>High engagement</v>
      </c>
    </row>
    <row r="384" spans="1:17">
      <c r="A384">
        <v>2127</v>
      </c>
      <c r="B384" t="s">
        <v>187</v>
      </c>
      <c r="C384" s="9" t="str">
        <f t="shared" si="40"/>
        <v>André Santos</v>
      </c>
      <c r="D384" s="7" t="str">
        <f t="shared" si="41"/>
        <v xml:space="preserve"> André Santos </v>
      </c>
      <c r="F384" s="7">
        <f t="shared" si="42"/>
        <v>43</v>
      </c>
      <c r="G384" t="s">
        <v>29</v>
      </c>
      <c r="H384" s="7" t="str">
        <f t="shared" si="43"/>
        <v>United States</v>
      </c>
      <c r="I384" t="s">
        <v>434</v>
      </c>
      <c r="J384" s="7" t="str">
        <f>TEXT(
  IFERROR(
    DATEVALUE(SUBSTITUTE(SUBSTITUTE(TRIM(I384),"T"," "),"Z","")),
    IFERROR(
      DATE(
        RIGHT(TRIM(I384),4),
        MID(TRIM(I384),4,2),
        LEFT(TRIM(I384),2)
      ),
      DATE(
        VALUE(RIGHT(TRIM(I384),4)),
        MATCH(LEFT(TRIM(I384),FIND(" ",TRIM(I384))-1),
          {"January","February","March","April","May","June","July","August","September","October","November","December"},0),
        VALUE(MID(TRIM(I384),
          FIND(" ",TRIM(I384))+1,
          FIND(" ",TRIM(I384),FIND(" ",TRIM(I384))+1)-FIND(" ",TRIM(I384))-1))
      )
    )
  ),
"yyyy-mm-dd")</f>
        <v>2023-01-18</v>
      </c>
      <c r="K384" s="5" t="str">
        <f t="shared" si="44"/>
        <v>Jan</v>
      </c>
      <c r="L384">
        <v>1692514483</v>
      </c>
      <c r="M384" s="11">
        <f t="shared" si="45"/>
        <v>45158.287997685184</v>
      </c>
      <c r="N384">
        <v>34.29</v>
      </c>
      <c r="O384" s="7">
        <f t="shared" si="46"/>
        <v>34.29</v>
      </c>
      <c r="P384" t="s">
        <v>58</v>
      </c>
      <c r="Q384" s="7" t="str">
        <f t="shared" si="47"/>
        <v>Student account</v>
      </c>
    </row>
    <row r="385" spans="1:17">
      <c r="A385">
        <v>1078</v>
      </c>
      <c r="B385" t="s">
        <v>210</v>
      </c>
      <c r="C385" s="9" t="str">
        <f t="shared" si="40"/>
        <v>Ethan Clark</v>
      </c>
      <c r="D385" s="7" t="str">
        <f t="shared" si="41"/>
        <v>Ethan Clark</v>
      </c>
      <c r="F385" s="7">
        <f t="shared" si="42"/>
        <v>43</v>
      </c>
      <c r="G385" t="s">
        <v>38</v>
      </c>
      <c r="H385" s="7" t="str">
        <f t="shared" si="43"/>
        <v>Spain</v>
      </c>
      <c r="I385" t="s">
        <v>178</v>
      </c>
      <c r="J385" s="7" t="str">
        <f>TEXT(
  IFERROR(
    DATEVALUE(SUBSTITUTE(SUBSTITUTE(TRIM(I385),"T"," "),"Z","")),
    IFERROR(
      DATE(
        RIGHT(TRIM(I385),4),
        MID(TRIM(I385),4,2),
        LEFT(TRIM(I385),2)
      ),
      DATE(
        VALUE(RIGHT(TRIM(I385),4)),
        MATCH(LEFT(TRIM(I385),FIND(" ",TRIM(I385))-1),
          {"January","February","March","April","May","June","July","August","September","October","November","December"},0),
        VALUE(MID(TRIM(I385),
          FIND(" ",TRIM(I385))+1,
          FIND(" ",TRIM(I385),FIND(" ",TRIM(I385))+1)-FIND(" ",TRIM(I385))-1))
      )
    )
  ),
"yyyy-mm-dd")</f>
        <v>2023-04-30</v>
      </c>
      <c r="K385" s="5" t="str">
        <f t="shared" si="44"/>
        <v>Apr</v>
      </c>
      <c r="L385">
        <v>1699739135</v>
      </c>
      <c r="M385" s="11">
        <f t="shared" si="45"/>
        <v>45241.906655092593</v>
      </c>
      <c r="O385" s="7">
        <f t="shared" si="46"/>
        <v>0</v>
      </c>
      <c r="P385" t="s">
        <v>27</v>
      </c>
      <c r="Q385" s="7" t="str">
        <f t="shared" si="47"/>
        <v xml:space="preserve">Holiday signup </v>
      </c>
    </row>
    <row r="386" spans="1:17">
      <c r="A386">
        <v>1446</v>
      </c>
      <c r="B386" t="s">
        <v>187</v>
      </c>
      <c r="C386" s="9" t="str">
        <f t="shared" si="40"/>
        <v>André Santos</v>
      </c>
      <c r="D386" s="7" t="str">
        <f t="shared" si="41"/>
        <v xml:space="preserve"> André Santos </v>
      </c>
      <c r="E386">
        <v>38</v>
      </c>
      <c r="F386" s="7">
        <f t="shared" si="42"/>
        <v>38</v>
      </c>
      <c r="G386" t="s">
        <v>60</v>
      </c>
      <c r="H386" s="7" t="str">
        <f t="shared" si="43"/>
        <v>Egypt</v>
      </c>
      <c r="I386" t="s">
        <v>435</v>
      </c>
      <c r="J386" s="7" t="str">
        <f>TEXT(
  IFERROR(
    DATEVALUE(SUBSTITUTE(SUBSTITUTE(TRIM(I386),"T"," "),"Z","")),
    IFERROR(
      DATE(
        RIGHT(TRIM(I386),4),
        MID(TRIM(I386),4,2),
        LEFT(TRIM(I386),2)
      ),
      DATE(
        VALUE(RIGHT(TRIM(I386),4)),
        MATCH(LEFT(TRIM(I386),FIND(" ",TRIM(I386))-1),
          {"January","February","March","April","May","June","July","August","September","October","November","December"},0),
        VALUE(MID(TRIM(I386),
          FIND(" ",TRIM(I386))+1,
          FIND(" ",TRIM(I386),FIND(" ",TRIM(I386))+1)-FIND(" ",TRIM(I386))-1))
      )
    )
  ),
"yyyy-mm-dd")</f>
        <v>2023-12-20</v>
      </c>
      <c r="K386" s="5" t="str">
        <f t="shared" si="44"/>
        <v>Dec</v>
      </c>
      <c r="L386">
        <v>1700022369</v>
      </c>
      <c r="M386" s="11">
        <f t="shared" si="45"/>
        <v>45245.18482638889</v>
      </c>
      <c r="O386" s="7">
        <f t="shared" si="46"/>
        <v>0</v>
      </c>
      <c r="P386" t="s">
        <v>20</v>
      </c>
      <c r="Q386" s="7" t="str">
        <f t="shared" si="47"/>
        <v xml:space="preserve">Great customer </v>
      </c>
    </row>
    <row r="387" spans="1:17">
      <c r="A387">
        <v>1913</v>
      </c>
      <c r="B387" t="s">
        <v>82</v>
      </c>
      <c r="C387" s="9" t="str">
        <f t="shared" ref="C387:C450" si="48">TRIM(B387)</f>
        <v>Björn Larsson</v>
      </c>
      <c r="D387" s="7" t="str">
        <f t="shared" ref="D387:D450" si="49">PROPER(B387)</f>
        <v>Björn Larsson</v>
      </c>
      <c r="E387">
        <v>50</v>
      </c>
      <c r="F387" s="7">
        <f t="shared" ref="F387:F450" si="50">IF(OR(E387="", ISBLANK(E387)), MEDIAN($E$2:$E$1501), E387)</f>
        <v>50</v>
      </c>
      <c r="G387" t="s">
        <v>44</v>
      </c>
      <c r="H387" s="7" t="str">
        <f t="shared" ref="H387:H450" si="51">TRIM(G387)</f>
        <v>UAE</v>
      </c>
      <c r="I387" t="s">
        <v>236</v>
      </c>
      <c r="J387" s="7" t="str">
        <f>TEXT(
  IFERROR(
    DATEVALUE(SUBSTITUTE(SUBSTITUTE(TRIM(I387),"T"," "),"Z","")),
    IFERROR(
      DATE(
        RIGHT(TRIM(I387),4),
        MID(TRIM(I387),4,2),
        LEFT(TRIM(I387),2)
      ),
      DATE(
        VALUE(RIGHT(TRIM(I387),4)),
        MATCH(LEFT(TRIM(I387),FIND(" ",TRIM(I387))-1),
          {"January","February","March","April","May","June","July","August","September","October","November","December"},0),
        VALUE(MID(TRIM(I387),
          FIND(" ",TRIM(I387))+1,
          FIND(" ",TRIM(I387),FIND(" ",TRIM(I387))+1)-FIND(" ",TRIM(I387))-1))
      )
    )
  ),
"yyyy-mm-dd")</f>
        <v>2023-05-29</v>
      </c>
      <c r="K387" s="5" t="str">
        <f t="shared" ref="K387:K450" si="52">TEXT(J387,"mmm")</f>
        <v>May</v>
      </c>
      <c r="L387">
        <v>1677490472</v>
      </c>
      <c r="M387" s="11">
        <f t="shared" ref="M387:M450" si="53">((L387)/86400)+DATE(1970,1,1)</f>
        <v>44984.398981481485</v>
      </c>
      <c r="N387">
        <v>206.96</v>
      </c>
      <c r="O387" s="7">
        <f t="shared" ref="O387:O450" si="54">IF(N387="", 0, N387)</f>
        <v>206.96</v>
      </c>
      <c r="P387" t="s">
        <v>36</v>
      </c>
      <c r="Q387" s="7" t="str">
        <f t="shared" ref="Q387:Q450" si="55">SUBSTITUTE(SUBSTITUTE(SUBSTITUTE(P387,"$",""),"%",""),"ñ","n")</f>
        <v>Regular shopper</v>
      </c>
    </row>
    <row r="388" spans="1:17">
      <c r="A388">
        <v>2146</v>
      </c>
      <c r="B388" t="s">
        <v>104</v>
      </c>
      <c r="C388" s="9" t="str">
        <f t="shared" si="48"/>
        <v>David Brown</v>
      </c>
      <c r="D388" s="7" t="str">
        <f t="shared" si="49"/>
        <v>David Brown</v>
      </c>
      <c r="E388">
        <v>59</v>
      </c>
      <c r="F388" s="7">
        <f t="shared" si="50"/>
        <v>59</v>
      </c>
      <c r="G388" t="s">
        <v>62</v>
      </c>
      <c r="H388" s="7" t="str">
        <f t="shared" si="51"/>
        <v>Ireland</v>
      </c>
      <c r="I388" t="s">
        <v>105</v>
      </c>
      <c r="J388" s="7" t="str">
        <f>TEXT(
  IFERROR(
    DATEVALUE(SUBSTITUTE(SUBSTITUTE(TRIM(I388),"T"," "),"Z","")),
    IFERROR(
      DATE(
        RIGHT(TRIM(I388),4),
        MID(TRIM(I388),4,2),
        LEFT(TRIM(I388),2)
      ),
      DATE(
        VALUE(RIGHT(TRIM(I388),4)),
        MATCH(LEFT(TRIM(I388),FIND(" ",TRIM(I388))-1),
          {"January","February","March","April","May","June","July","August","September","October","November","December"},0),
        VALUE(MID(TRIM(I388),
          FIND(" ",TRIM(I388))+1,
          FIND(" ",TRIM(I388),FIND(" ",TRIM(I388))+1)-FIND(" ",TRIM(I388))-1))
      )
    )
  ),
"yyyy-mm-dd")</f>
        <v>2023-11-12</v>
      </c>
      <c r="K388" s="5" t="str">
        <f t="shared" si="52"/>
        <v>Nov</v>
      </c>
      <c r="L388">
        <v>1680786639</v>
      </c>
      <c r="M388" s="11">
        <f t="shared" si="53"/>
        <v>45022.549062499995</v>
      </c>
      <c r="O388" s="7">
        <f t="shared" si="54"/>
        <v>0</v>
      </c>
      <c r="P388" t="s">
        <v>118</v>
      </c>
      <c r="Q388" s="7" t="str">
        <f t="shared" si="55"/>
        <v>High engagement</v>
      </c>
    </row>
    <row r="389" spans="1:17">
      <c r="A389">
        <v>1663</v>
      </c>
      <c r="B389" t="s">
        <v>101</v>
      </c>
      <c r="C389" s="9" t="str">
        <f t="shared" si="48"/>
        <v>Zoë Kravitz</v>
      </c>
      <c r="D389" s="7" t="str">
        <f t="shared" si="49"/>
        <v>Zoë Kravitz</v>
      </c>
      <c r="E389">
        <v>25</v>
      </c>
      <c r="F389" s="7">
        <f t="shared" si="50"/>
        <v>25</v>
      </c>
      <c r="G389" t="s">
        <v>44</v>
      </c>
      <c r="H389" s="7" t="str">
        <f t="shared" si="51"/>
        <v>UAE</v>
      </c>
      <c r="I389" t="s">
        <v>436</v>
      </c>
      <c r="J389" s="7" t="str">
        <f>TEXT(
  IFERROR(
    DATEVALUE(SUBSTITUTE(SUBSTITUTE(TRIM(I389),"T"," "),"Z","")),
    IFERROR(
      DATE(
        RIGHT(TRIM(I389),4),
        MID(TRIM(I389),4,2),
        LEFT(TRIM(I389),2)
      ),
      DATE(
        VALUE(RIGHT(TRIM(I389),4)),
        MATCH(LEFT(TRIM(I389),FIND(" ",TRIM(I389))-1),
          {"January","February","March","April","May","June","July","August","September","October","November","December"},0),
        VALUE(MID(TRIM(I389),
          FIND(" ",TRIM(I389))+1,
          FIND(" ",TRIM(I389),FIND(" ",TRIM(I389))+1)-FIND(" ",TRIM(I389))-1))
      )
    )
  ),
"yyyy-mm-dd")</f>
        <v>2023-05-08</v>
      </c>
      <c r="K389" s="5" t="str">
        <f t="shared" si="52"/>
        <v>May</v>
      </c>
      <c r="L389">
        <v>1684211272</v>
      </c>
      <c r="M389" s="11">
        <f t="shared" si="53"/>
        <v>45062.186018518521</v>
      </c>
      <c r="O389" s="7">
        <f t="shared" si="54"/>
        <v>0</v>
      </c>
      <c r="P389" t="s">
        <v>27</v>
      </c>
      <c r="Q389" s="7" t="str">
        <f t="shared" si="55"/>
        <v xml:space="preserve">Holiday signup </v>
      </c>
    </row>
    <row r="390" spans="1:17">
      <c r="A390">
        <v>1050</v>
      </c>
      <c r="B390" t="s">
        <v>82</v>
      </c>
      <c r="C390" s="9" t="str">
        <f t="shared" si="48"/>
        <v>Björn Larsson</v>
      </c>
      <c r="D390" s="7" t="str">
        <f t="shared" si="49"/>
        <v>Björn Larsson</v>
      </c>
      <c r="F390" s="7">
        <f t="shared" si="50"/>
        <v>43</v>
      </c>
      <c r="G390" t="s">
        <v>18</v>
      </c>
      <c r="H390" s="7" t="str">
        <f t="shared" si="51"/>
        <v>United Kingdom</v>
      </c>
      <c r="I390" t="s">
        <v>437</v>
      </c>
      <c r="J390" s="7" t="str">
        <f>TEXT(
  IFERROR(
    DATEVALUE(SUBSTITUTE(SUBSTITUTE(TRIM(I390),"T"," "),"Z","")),
    IFERROR(
      DATE(
        RIGHT(TRIM(I390),4),
        MID(TRIM(I390),4,2),
        LEFT(TRIM(I390),2)
      ),
      DATE(
        VALUE(RIGHT(TRIM(I390),4)),
        MATCH(LEFT(TRIM(I390),FIND(" ",TRIM(I390))-1),
          {"January","February","March","April","May","June","July","August","September","October","November","December"},0),
        VALUE(MID(TRIM(I390),
          FIND(" ",TRIM(I390))+1,
          FIND(" ",TRIM(I390),FIND(" ",TRIM(I390))+1)-FIND(" ",TRIM(I390))-1))
      )
    )
  ),
"yyyy-mm-dd")</f>
        <v>2023-08-14</v>
      </c>
      <c r="K390" s="5" t="str">
        <f t="shared" si="52"/>
        <v>Aug</v>
      </c>
      <c r="L390">
        <v>1703535449</v>
      </c>
      <c r="M390" s="11">
        <f t="shared" si="53"/>
        <v>45285.84547453704</v>
      </c>
      <c r="N390">
        <v>1229.08</v>
      </c>
      <c r="O390" s="7">
        <f t="shared" si="54"/>
        <v>1229.08</v>
      </c>
      <c r="P390" t="s">
        <v>84</v>
      </c>
      <c r="Q390" s="7" t="str">
        <f t="shared" si="55"/>
        <v xml:space="preserve">Newsletter subscriber </v>
      </c>
    </row>
    <row r="391" spans="1:17">
      <c r="A391">
        <v>1320</v>
      </c>
      <c r="B391" t="s">
        <v>82</v>
      </c>
      <c r="C391" s="9" t="str">
        <f t="shared" si="48"/>
        <v>Björn Larsson</v>
      </c>
      <c r="D391" s="7" t="str">
        <f t="shared" si="49"/>
        <v>Björn Larsson</v>
      </c>
      <c r="E391">
        <v>25</v>
      </c>
      <c r="F391" s="7">
        <f t="shared" si="50"/>
        <v>25</v>
      </c>
      <c r="G391" t="s">
        <v>29</v>
      </c>
      <c r="H391" s="7" t="str">
        <f t="shared" si="51"/>
        <v>United States</v>
      </c>
      <c r="I391" t="s">
        <v>438</v>
      </c>
      <c r="J391" s="7" t="str">
        <f>TEXT(
  IFERROR(
    DATEVALUE(SUBSTITUTE(SUBSTITUTE(TRIM(I391),"T"," "),"Z","")),
    IFERROR(
      DATE(
        RIGHT(TRIM(I391),4),
        MID(TRIM(I391),4,2),
        LEFT(TRIM(I391),2)
      ),
      DATE(
        VALUE(RIGHT(TRIM(I391),4)),
        MATCH(LEFT(TRIM(I391),FIND(" ",TRIM(I391))-1),
          {"January","February","March","April","May","June","July","August","September","October","November","December"},0),
        VALUE(MID(TRIM(I391),
          FIND(" ",TRIM(I391))+1,
          FIND(" ",TRIM(I391),FIND(" ",TRIM(I391))+1)-FIND(" ",TRIM(I391))-1))
      )
    )
  ),
"yyyy-mm-dd")</f>
        <v>2023-05-05</v>
      </c>
      <c r="K391" s="5" t="str">
        <f t="shared" si="52"/>
        <v>May</v>
      </c>
      <c r="L391">
        <v>1703619888</v>
      </c>
      <c r="M391" s="11">
        <f t="shared" si="53"/>
        <v>45286.822777777779</v>
      </c>
      <c r="O391" s="7">
        <f t="shared" si="54"/>
        <v>0</v>
      </c>
      <c r="P391" t="s">
        <v>20</v>
      </c>
      <c r="Q391" s="7" t="str">
        <f t="shared" si="55"/>
        <v xml:space="preserve">Great customer </v>
      </c>
    </row>
    <row r="392" spans="1:17">
      <c r="A392">
        <v>1704</v>
      </c>
      <c r="B392" t="s">
        <v>24</v>
      </c>
      <c r="C392" s="9" t="str">
        <f t="shared" si="48"/>
        <v>Renée Dupont</v>
      </c>
      <c r="D392" s="7" t="str">
        <f t="shared" si="49"/>
        <v>Renée Dupont</v>
      </c>
      <c r="F392" s="7">
        <f t="shared" si="50"/>
        <v>43</v>
      </c>
      <c r="G392" t="s">
        <v>29</v>
      </c>
      <c r="H392" s="7" t="str">
        <f t="shared" si="51"/>
        <v>United States</v>
      </c>
      <c r="I392" t="s">
        <v>439</v>
      </c>
      <c r="J392" s="7" t="str">
        <f>TEXT(
  IFERROR(
    DATEVALUE(SUBSTITUTE(SUBSTITUTE(TRIM(I392),"T"," "),"Z","")),
    IFERROR(
      DATE(
        RIGHT(TRIM(I392),4),
        MID(TRIM(I392),4,2),
        LEFT(TRIM(I392),2)
      ),
      DATE(
        VALUE(RIGHT(TRIM(I392),4)),
        MATCH(LEFT(TRIM(I392),FIND(" ",TRIM(I392))-1),
          {"January","February","March","April","May","June","July","August","September","October","November","December"},0),
        VALUE(MID(TRIM(I392),
          FIND(" ",TRIM(I392))+1,
          FIND(" ",TRIM(I392),FIND(" ",TRIM(I392))+1)-FIND(" ",TRIM(I392))-1))
      )
    )
  ),
"yyyy-mm-dd")</f>
        <v>2023-06-19</v>
      </c>
      <c r="K392" s="5" t="str">
        <f t="shared" si="52"/>
        <v>Jun</v>
      </c>
      <c r="L392">
        <v>1697354715</v>
      </c>
      <c r="M392" s="11">
        <f t="shared" si="53"/>
        <v>45214.309201388889</v>
      </c>
      <c r="N392">
        <v>811.63</v>
      </c>
      <c r="O392" s="7">
        <f t="shared" si="54"/>
        <v>811.63</v>
      </c>
      <c r="P392" t="s">
        <v>46</v>
      </c>
      <c r="Q392" s="7" t="str">
        <f t="shared" si="55"/>
        <v>Corporate account</v>
      </c>
    </row>
    <row r="393" spans="1:17">
      <c r="A393">
        <v>1349</v>
      </c>
      <c r="B393" t="s">
        <v>59</v>
      </c>
      <c r="C393" s="9" t="str">
        <f t="shared" si="48"/>
        <v>Maria Lopez</v>
      </c>
      <c r="D393" s="7" t="str">
        <f t="shared" si="49"/>
        <v xml:space="preserve"> Maria Lopez </v>
      </c>
      <c r="F393" s="7">
        <f t="shared" si="50"/>
        <v>43</v>
      </c>
      <c r="G393" t="s">
        <v>29</v>
      </c>
      <c r="H393" s="7" t="str">
        <f t="shared" si="51"/>
        <v>United States</v>
      </c>
      <c r="I393" t="s">
        <v>440</v>
      </c>
      <c r="J393" s="7" t="str">
        <f>TEXT(
  IFERROR(
    DATEVALUE(SUBSTITUTE(SUBSTITUTE(TRIM(I393),"T"," "),"Z","")),
    IFERROR(
      DATE(
        RIGHT(TRIM(I393),4),
        MID(TRIM(I393),4,2),
        LEFT(TRIM(I393),2)
      ),
      DATE(
        VALUE(RIGHT(TRIM(I393),4)),
        MATCH(LEFT(TRIM(I393),FIND(" ",TRIM(I393))-1),
          {"January","February","March","April","May","June","July","August","September","October","November","December"},0),
        VALUE(MID(TRIM(I393),
          FIND(" ",TRIM(I393))+1,
          FIND(" ",TRIM(I393),FIND(" ",TRIM(I393))+1)-FIND(" ",TRIM(I393))-1))
      )
    )
  ),
"yyyy-mm-dd")</f>
        <v>2023-08-27</v>
      </c>
      <c r="K393" s="5" t="str">
        <f t="shared" si="52"/>
        <v>Aug</v>
      </c>
      <c r="L393">
        <v>1674758651</v>
      </c>
      <c r="M393" s="11">
        <f t="shared" si="53"/>
        <v>44952.780682870369</v>
      </c>
      <c r="O393" s="7">
        <f t="shared" si="54"/>
        <v>0</v>
      </c>
      <c r="P393" t="s">
        <v>84</v>
      </c>
      <c r="Q393" s="7" t="str">
        <f t="shared" si="55"/>
        <v xml:space="preserve">Newsletter subscriber </v>
      </c>
    </row>
    <row r="394" spans="1:17">
      <c r="A394">
        <v>1221</v>
      </c>
      <c r="B394" t="s">
        <v>94</v>
      </c>
      <c r="C394" s="9" t="str">
        <f t="shared" si="48"/>
        <v>John Smith</v>
      </c>
      <c r="D394" s="7" t="str">
        <f t="shared" si="49"/>
        <v xml:space="preserve"> John Smith </v>
      </c>
      <c r="E394">
        <v>59</v>
      </c>
      <c r="F394" s="7">
        <f t="shared" si="50"/>
        <v>59</v>
      </c>
      <c r="G394" t="s">
        <v>116</v>
      </c>
      <c r="H394" s="7" t="str">
        <f t="shared" si="51"/>
        <v>China</v>
      </c>
      <c r="I394" t="s">
        <v>441</v>
      </c>
      <c r="J394" s="7" t="str">
        <f>TEXT(
  IFERROR(
    DATEVALUE(SUBSTITUTE(SUBSTITUTE(TRIM(I394),"T"," "),"Z","")),
    IFERROR(
      DATE(
        RIGHT(TRIM(I394),4),
        MID(TRIM(I394),4,2),
        LEFT(TRIM(I394),2)
      ),
      DATE(
        VALUE(RIGHT(TRIM(I394),4)),
        MATCH(LEFT(TRIM(I394),FIND(" ",TRIM(I394))-1),
          {"January","February","March","April","May","June","July","August","September","October","November","December"},0),
        VALUE(MID(TRIM(I394),
          FIND(" ",TRIM(I394))+1,
          FIND(" ",TRIM(I394),FIND(" ",TRIM(I394))+1)-FIND(" ",TRIM(I394))-1))
      )
    )
  ),
"yyyy-mm-dd")</f>
        <v>2023-09-18</v>
      </c>
      <c r="K394" s="5" t="str">
        <f t="shared" si="52"/>
        <v>Sep</v>
      </c>
      <c r="L394">
        <v>1702852913</v>
      </c>
      <c r="M394" s="11">
        <f t="shared" si="53"/>
        <v>45277.945752314816</v>
      </c>
      <c r="N394">
        <v>480.03</v>
      </c>
      <c r="O394" s="7">
        <f t="shared" si="54"/>
        <v>480.03</v>
      </c>
      <c r="P394" t="s">
        <v>33</v>
      </c>
      <c r="Q394" s="7" t="str">
        <f t="shared" si="55"/>
        <v>Frequent buyer n</v>
      </c>
    </row>
    <row r="395" spans="1:17">
      <c r="A395">
        <v>1038</v>
      </c>
      <c r="B395" t="s">
        <v>90</v>
      </c>
      <c r="C395" s="9" t="str">
        <f t="shared" si="48"/>
        <v>Olivia Wilson</v>
      </c>
      <c r="D395" s="7" t="str">
        <f t="shared" si="49"/>
        <v>Olivia Wilson</v>
      </c>
      <c r="F395" s="7">
        <f t="shared" si="50"/>
        <v>43</v>
      </c>
      <c r="G395" t="s">
        <v>38</v>
      </c>
      <c r="H395" s="7" t="str">
        <f t="shared" si="51"/>
        <v>Spain</v>
      </c>
      <c r="I395" t="s">
        <v>442</v>
      </c>
      <c r="J395" s="7" t="str">
        <f>TEXT(
  IFERROR(
    DATEVALUE(SUBSTITUTE(SUBSTITUTE(TRIM(I395),"T"," "),"Z","")),
    IFERROR(
      DATE(
        RIGHT(TRIM(I395),4),
        MID(TRIM(I395),4,2),
        LEFT(TRIM(I395),2)
      ),
      DATE(
        VALUE(RIGHT(TRIM(I395),4)),
        MATCH(LEFT(TRIM(I395),FIND(" ",TRIM(I395))-1),
          {"January","February","March","April","May","June","July","August","September","October","November","December"},0),
        VALUE(MID(TRIM(I395),
          FIND(" ",TRIM(I395))+1,
          FIND(" ",TRIM(I395),FIND(" ",TRIM(I395))+1)-FIND(" ",TRIM(I395))-1))
      )
    )
  ),
"yyyy-mm-dd")</f>
        <v>2023-09-14</v>
      </c>
      <c r="K395" s="5" t="str">
        <f t="shared" si="52"/>
        <v>Sep</v>
      </c>
      <c r="L395">
        <v>1699766603</v>
      </c>
      <c r="M395" s="11">
        <f t="shared" si="53"/>
        <v>45242.22457175926</v>
      </c>
      <c r="O395" s="7">
        <f t="shared" si="54"/>
        <v>0</v>
      </c>
      <c r="P395" t="s">
        <v>118</v>
      </c>
      <c r="Q395" s="7" t="str">
        <f t="shared" si="55"/>
        <v>High engagement</v>
      </c>
    </row>
    <row r="396" spans="1:17">
      <c r="A396">
        <v>1633</v>
      </c>
      <c r="B396" t="s">
        <v>24</v>
      </c>
      <c r="C396" s="9" t="str">
        <f t="shared" si="48"/>
        <v>Renée Dupont</v>
      </c>
      <c r="D396" s="7" t="str">
        <f t="shared" si="49"/>
        <v>Renée Dupont</v>
      </c>
      <c r="F396" s="7">
        <f t="shared" si="50"/>
        <v>43</v>
      </c>
      <c r="G396" t="s">
        <v>18</v>
      </c>
      <c r="H396" s="7" t="str">
        <f t="shared" si="51"/>
        <v>United Kingdom</v>
      </c>
      <c r="I396" t="s">
        <v>443</v>
      </c>
      <c r="J396" s="7" t="str">
        <f>TEXT(
  IFERROR(
    DATEVALUE(SUBSTITUTE(SUBSTITUTE(TRIM(I396),"T"," "),"Z","")),
    IFERROR(
      DATE(
        RIGHT(TRIM(I396),4),
        MID(TRIM(I396),4,2),
        LEFT(TRIM(I396),2)
      ),
      DATE(
        VALUE(RIGHT(TRIM(I396),4)),
        MATCH(LEFT(TRIM(I396),FIND(" ",TRIM(I396))-1),
          {"January","February","March","April","May","June","July","August","September","October","November","December"},0),
        VALUE(MID(TRIM(I396),
          FIND(" ",TRIM(I396))+1,
          FIND(" ",TRIM(I396),FIND(" ",TRIM(I396))+1)-FIND(" ",TRIM(I396))-1))
      )
    )
  ),
"yyyy-mm-dd")</f>
        <v>2023-12-02</v>
      </c>
      <c r="K396" s="5" t="str">
        <f t="shared" si="52"/>
        <v>Dec</v>
      </c>
      <c r="L396">
        <v>1703297176</v>
      </c>
      <c r="M396" s="11">
        <f t="shared" si="53"/>
        <v>45283.087685185186</v>
      </c>
      <c r="N396">
        <v>245.49</v>
      </c>
      <c r="O396" s="7">
        <f t="shared" si="54"/>
        <v>245.49</v>
      </c>
      <c r="P396" t="s">
        <v>46</v>
      </c>
      <c r="Q396" s="7" t="str">
        <f t="shared" si="55"/>
        <v>Corporate account</v>
      </c>
    </row>
    <row r="397" spans="1:17">
      <c r="A397">
        <v>2092</v>
      </c>
      <c r="B397" t="s">
        <v>187</v>
      </c>
      <c r="C397" s="9" t="str">
        <f t="shared" si="48"/>
        <v>André Santos</v>
      </c>
      <c r="D397" s="7" t="str">
        <f t="shared" si="49"/>
        <v xml:space="preserve"> André Santos </v>
      </c>
      <c r="E397">
        <v>27</v>
      </c>
      <c r="F397" s="7">
        <f t="shared" si="50"/>
        <v>27</v>
      </c>
      <c r="G397" t="s">
        <v>29</v>
      </c>
      <c r="H397" s="7" t="str">
        <f t="shared" si="51"/>
        <v>United States</v>
      </c>
      <c r="I397" t="s">
        <v>444</v>
      </c>
      <c r="J397" s="7" t="str">
        <f>TEXT(
  IFERROR(
    DATEVALUE(SUBSTITUTE(SUBSTITUTE(TRIM(I397),"T"," "),"Z","")),
    IFERROR(
      DATE(
        RIGHT(TRIM(I397),4),
        MID(TRIM(I397),4,2),
        LEFT(TRIM(I397),2)
      ),
      DATE(
        VALUE(RIGHT(TRIM(I397),4)),
        MATCH(LEFT(TRIM(I397),FIND(" ",TRIM(I397))-1),
          {"January","February","March","April","May","June","July","August","September","October","November","December"},0),
        VALUE(MID(TRIM(I397),
          FIND(" ",TRIM(I397))+1,
          FIND(" ",TRIM(I397),FIND(" ",TRIM(I397))+1)-FIND(" ",TRIM(I397))-1))
      )
    )
  ),
"yyyy-mm-dd")</f>
        <v>2023-06-13</v>
      </c>
      <c r="K397" s="5" t="str">
        <f t="shared" si="52"/>
        <v>Jun</v>
      </c>
      <c r="L397">
        <v>1686323319</v>
      </c>
      <c r="M397" s="11">
        <f t="shared" si="53"/>
        <v>45086.631006944444</v>
      </c>
      <c r="O397" s="7">
        <f t="shared" si="54"/>
        <v>0</v>
      </c>
      <c r="P397" t="s">
        <v>33</v>
      </c>
      <c r="Q397" s="7" t="str">
        <f t="shared" si="55"/>
        <v>Frequent buyer n</v>
      </c>
    </row>
    <row r="398" spans="1:17">
      <c r="A398">
        <v>1385</v>
      </c>
      <c r="B398" t="s">
        <v>224</v>
      </c>
      <c r="C398" s="9" t="str">
        <f t="shared" si="48"/>
        <v>Anne Müller</v>
      </c>
      <c r="D398" s="7" t="str">
        <f t="shared" si="49"/>
        <v xml:space="preserve"> Anne Müller </v>
      </c>
      <c r="E398">
        <v>57</v>
      </c>
      <c r="F398" s="7">
        <f t="shared" si="50"/>
        <v>57</v>
      </c>
      <c r="G398" t="s">
        <v>54</v>
      </c>
      <c r="H398" s="7" t="str">
        <f t="shared" si="51"/>
        <v>Brazil</v>
      </c>
      <c r="I398" t="s">
        <v>445</v>
      </c>
      <c r="J398" s="7" t="str">
        <f>TEXT(
  IFERROR(
    DATEVALUE(SUBSTITUTE(SUBSTITUTE(TRIM(I398),"T"," "),"Z","")),
    IFERROR(
      DATE(
        RIGHT(TRIM(I398),4),
        MID(TRIM(I398),4,2),
        LEFT(TRIM(I398),2)
      ),
      DATE(
        VALUE(RIGHT(TRIM(I398),4)),
        MATCH(LEFT(TRIM(I398),FIND(" ",TRIM(I398))-1),
          {"January","February","March","April","May","June","July","August","September","October","November","December"},0),
        VALUE(MID(TRIM(I398),
          FIND(" ",TRIM(I398))+1,
          FIND(" ",TRIM(I398),FIND(" ",TRIM(I398))+1)-FIND(" ",TRIM(I398))-1))
      )
    )
  ),
"yyyy-mm-dd")</f>
        <v>2023-11-07</v>
      </c>
      <c r="K398" s="5" t="str">
        <f t="shared" si="52"/>
        <v>Nov</v>
      </c>
      <c r="L398">
        <v>1693071459</v>
      </c>
      <c r="M398" s="11">
        <f t="shared" si="53"/>
        <v>45164.734479166669</v>
      </c>
      <c r="N398">
        <v>354.06</v>
      </c>
      <c r="O398" s="7">
        <f t="shared" si="54"/>
        <v>354.06</v>
      </c>
      <c r="P398" t="s">
        <v>40</v>
      </c>
      <c r="Q398" s="7" t="str">
        <f t="shared" si="55"/>
        <v xml:space="preserve">VIP client </v>
      </c>
    </row>
    <row r="399" spans="1:17">
      <c r="A399">
        <v>1054</v>
      </c>
      <c r="B399" t="s">
        <v>34</v>
      </c>
      <c r="C399" s="9" t="str">
        <f t="shared" si="48"/>
        <v>Olivia Wilson</v>
      </c>
      <c r="D399" s="7" t="str">
        <f t="shared" si="49"/>
        <v xml:space="preserve"> Olivia Wilson </v>
      </c>
      <c r="E399">
        <v>26</v>
      </c>
      <c r="F399" s="7">
        <f t="shared" si="50"/>
        <v>26</v>
      </c>
      <c r="G399" t="s">
        <v>60</v>
      </c>
      <c r="H399" s="7" t="str">
        <f t="shared" si="51"/>
        <v>Egypt</v>
      </c>
      <c r="I399" t="s">
        <v>446</v>
      </c>
      <c r="J399" s="7" t="str">
        <f>TEXT(
  IFERROR(
    DATEVALUE(SUBSTITUTE(SUBSTITUTE(TRIM(I399),"T"," "),"Z","")),
    IFERROR(
      DATE(
        RIGHT(TRIM(I399),4),
        MID(TRIM(I399),4,2),
        LEFT(TRIM(I399),2)
      ),
      DATE(
        VALUE(RIGHT(TRIM(I399),4)),
        MATCH(LEFT(TRIM(I399),FIND(" ",TRIM(I399))-1),
          {"January","February","March","April","May","June","July","August","September","October","November","December"},0),
        VALUE(MID(TRIM(I399),
          FIND(" ",TRIM(I399))+1,
          FIND(" ",TRIM(I399),FIND(" ",TRIM(I399))+1)-FIND(" ",TRIM(I399))-1))
      )
    )
  ),
"yyyy-mm-dd")</f>
        <v>2023-12-31</v>
      </c>
      <c r="K399" s="5" t="str">
        <f t="shared" si="52"/>
        <v>Dec</v>
      </c>
      <c r="L399">
        <v>1678697226</v>
      </c>
      <c r="M399" s="11">
        <f t="shared" si="53"/>
        <v>44998.366041666668</v>
      </c>
      <c r="O399" s="7">
        <f t="shared" si="54"/>
        <v>0</v>
      </c>
      <c r="P399" t="s">
        <v>36</v>
      </c>
      <c r="Q399" s="7" t="str">
        <f t="shared" si="55"/>
        <v>Regular shopper</v>
      </c>
    </row>
    <row r="400" spans="1:17">
      <c r="A400">
        <v>1136</v>
      </c>
      <c r="B400" t="s">
        <v>124</v>
      </c>
      <c r="C400" s="9" t="str">
        <f t="shared" si="48"/>
        <v>Sarah Johnson</v>
      </c>
      <c r="D400" s="7" t="str">
        <f t="shared" si="49"/>
        <v>Sarah Johnson</v>
      </c>
      <c r="F400" s="7">
        <f t="shared" si="50"/>
        <v>43</v>
      </c>
      <c r="G400" t="s">
        <v>25</v>
      </c>
      <c r="H400" s="7" t="str">
        <f t="shared" si="51"/>
        <v>Japan</v>
      </c>
      <c r="I400" t="s">
        <v>447</v>
      </c>
      <c r="J400" s="7" t="str">
        <f>TEXT(
  IFERROR(
    DATEVALUE(SUBSTITUTE(SUBSTITUTE(TRIM(I400),"T"," "),"Z","")),
    IFERROR(
      DATE(
        RIGHT(TRIM(I400),4),
        MID(TRIM(I400),4,2),
        LEFT(TRIM(I400),2)
      ),
      DATE(
        VALUE(RIGHT(TRIM(I400),4)),
        MATCH(LEFT(TRIM(I400),FIND(" ",TRIM(I400))-1),
          {"January","February","March","April","May","June","July","August","September","October","November","December"},0),
        VALUE(MID(TRIM(I400),
          FIND(" ",TRIM(I400))+1,
          FIND(" ",TRIM(I400),FIND(" ",TRIM(I400))+1)-FIND(" ",TRIM(I400))-1))
      )
    )
  ),
"yyyy-mm-dd")</f>
        <v>2023-08-23</v>
      </c>
      <c r="K400" s="5" t="str">
        <f t="shared" si="52"/>
        <v>Aug</v>
      </c>
      <c r="L400">
        <v>1686870388</v>
      </c>
      <c r="M400" s="11">
        <f t="shared" si="53"/>
        <v>45092.962824074071</v>
      </c>
      <c r="N400">
        <v>613.25</v>
      </c>
      <c r="O400" s="7">
        <f t="shared" si="54"/>
        <v>613.25</v>
      </c>
      <c r="P400" t="s">
        <v>27</v>
      </c>
      <c r="Q400" s="7" t="str">
        <f t="shared" si="55"/>
        <v xml:space="preserve">Holiday signup </v>
      </c>
    </row>
    <row r="401" spans="1:17">
      <c r="A401">
        <v>1780</v>
      </c>
      <c r="B401" t="s">
        <v>88</v>
      </c>
      <c r="C401" s="9" t="str">
        <f t="shared" si="48"/>
        <v>André Santos</v>
      </c>
      <c r="D401" s="7" t="str">
        <f t="shared" si="49"/>
        <v>André Santos</v>
      </c>
      <c r="E401">
        <v>65</v>
      </c>
      <c r="F401" s="7">
        <f t="shared" si="50"/>
        <v>65</v>
      </c>
      <c r="G401" t="s">
        <v>62</v>
      </c>
      <c r="H401" s="7" t="str">
        <f t="shared" si="51"/>
        <v>Ireland</v>
      </c>
      <c r="I401" t="s">
        <v>448</v>
      </c>
      <c r="J401" s="7" t="str">
        <f>TEXT(
  IFERROR(
    DATEVALUE(SUBSTITUTE(SUBSTITUTE(TRIM(I401),"T"," "),"Z","")),
    IFERROR(
      DATE(
        RIGHT(TRIM(I401),4),
        MID(TRIM(I401),4,2),
        LEFT(TRIM(I401),2)
      ),
      DATE(
        VALUE(RIGHT(TRIM(I401),4)),
        MATCH(LEFT(TRIM(I401),FIND(" ",TRIM(I401))-1),
          {"January","February","March","April","May","June","July","August","September","October","November","December"},0),
        VALUE(MID(TRIM(I401),
          FIND(" ",TRIM(I401))+1,
          FIND(" ",TRIM(I401),FIND(" ",TRIM(I401))+1)-FIND(" ",TRIM(I401))-1))
      )
    )
  ),
"yyyy-mm-dd")</f>
        <v>2023-09-26</v>
      </c>
      <c r="K401" s="5" t="str">
        <f t="shared" si="52"/>
        <v>Sep</v>
      </c>
      <c r="L401">
        <v>1689994084</v>
      </c>
      <c r="M401" s="11">
        <f t="shared" si="53"/>
        <v>45129.116712962961</v>
      </c>
      <c r="O401" s="7">
        <f t="shared" si="54"/>
        <v>0</v>
      </c>
      <c r="P401" t="s">
        <v>20</v>
      </c>
      <c r="Q401" s="7" t="str">
        <f t="shared" si="55"/>
        <v xml:space="preserve">Great customer </v>
      </c>
    </row>
    <row r="402" spans="1:17">
      <c r="A402">
        <v>1586</v>
      </c>
      <c r="B402" t="s">
        <v>64</v>
      </c>
      <c r="C402" s="9" t="str">
        <f t="shared" si="48"/>
        <v>Ethan Clark</v>
      </c>
      <c r="D402" s="7" t="str">
        <f t="shared" si="49"/>
        <v xml:space="preserve"> Ethan Clark </v>
      </c>
      <c r="E402">
        <v>36</v>
      </c>
      <c r="F402" s="7">
        <f t="shared" si="50"/>
        <v>36</v>
      </c>
      <c r="G402" t="s">
        <v>67</v>
      </c>
      <c r="H402" s="7" t="str">
        <f t="shared" si="51"/>
        <v>Sweden</v>
      </c>
      <c r="I402" t="s">
        <v>449</v>
      </c>
      <c r="J402" s="7" t="str">
        <f>TEXT(
  IFERROR(
    DATEVALUE(SUBSTITUTE(SUBSTITUTE(TRIM(I402),"T"," "),"Z","")),
    IFERROR(
      DATE(
        RIGHT(TRIM(I402),4),
        MID(TRIM(I402),4,2),
        LEFT(TRIM(I402),2)
      ),
      DATE(
        VALUE(RIGHT(TRIM(I402),4)),
        MATCH(LEFT(TRIM(I402),FIND(" ",TRIM(I402))-1),
          {"January","February","March","April","May","June","July","August","September","October","November","December"},0),
        VALUE(MID(TRIM(I402),
          FIND(" ",TRIM(I402))+1,
          FIND(" ",TRIM(I402),FIND(" ",TRIM(I402))+1)-FIND(" ",TRIM(I402))-1))
      )
    )
  ),
"yyyy-mm-dd")</f>
        <v>2023-03-14</v>
      </c>
      <c r="K402" s="5" t="str">
        <f t="shared" si="52"/>
        <v>Mar</v>
      </c>
      <c r="L402">
        <v>1700370605</v>
      </c>
      <c r="M402" s="11">
        <f t="shared" si="53"/>
        <v>45249.215335648143</v>
      </c>
      <c r="N402">
        <v>972.69</v>
      </c>
      <c r="O402" s="7">
        <f t="shared" si="54"/>
        <v>972.69</v>
      </c>
      <c r="P402" t="s">
        <v>46</v>
      </c>
      <c r="Q402" s="7" t="str">
        <f t="shared" si="55"/>
        <v>Corporate account</v>
      </c>
    </row>
    <row r="403" spans="1:17">
      <c r="A403">
        <v>1232</v>
      </c>
      <c r="B403" t="s">
        <v>124</v>
      </c>
      <c r="C403" s="9" t="str">
        <f t="shared" si="48"/>
        <v>Sarah Johnson</v>
      </c>
      <c r="D403" s="7" t="str">
        <f t="shared" si="49"/>
        <v>Sarah Johnson</v>
      </c>
      <c r="E403">
        <v>62</v>
      </c>
      <c r="F403" s="7">
        <f t="shared" si="50"/>
        <v>62</v>
      </c>
      <c r="G403" t="s">
        <v>116</v>
      </c>
      <c r="H403" s="7" t="str">
        <f t="shared" si="51"/>
        <v>China</v>
      </c>
      <c r="I403" t="s">
        <v>450</v>
      </c>
      <c r="J403" s="7" t="str">
        <f>TEXT(
  IFERROR(
    DATEVALUE(SUBSTITUTE(SUBSTITUTE(TRIM(I403),"T"," "),"Z","")),
    IFERROR(
      DATE(
        RIGHT(TRIM(I403),4),
        MID(TRIM(I403),4,2),
        LEFT(TRIM(I403),2)
      ),
      DATE(
        VALUE(RIGHT(TRIM(I403),4)),
        MATCH(LEFT(TRIM(I403),FIND(" ",TRIM(I403))-1),
          {"January","February","March","April","May","June","July","August","September","October","November","December"},0),
        VALUE(MID(TRIM(I403),
          FIND(" ",TRIM(I403))+1,
          FIND(" ",TRIM(I403),FIND(" ",TRIM(I403))+1)-FIND(" ",TRIM(I403))-1))
      )
    )
  ),
"yyyy-mm-dd")</f>
        <v>2023-07-31</v>
      </c>
      <c r="K403" s="5" t="str">
        <f t="shared" si="52"/>
        <v>Jul</v>
      </c>
      <c r="L403">
        <v>1687653218</v>
      </c>
      <c r="M403" s="11">
        <f t="shared" si="53"/>
        <v>45102.023356481484</v>
      </c>
      <c r="O403" s="7">
        <f t="shared" si="54"/>
        <v>0</v>
      </c>
      <c r="P403" t="s">
        <v>27</v>
      </c>
      <c r="Q403" s="7" t="str">
        <f t="shared" si="55"/>
        <v xml:space="preserve">Holiday signup </v>
      </c>
    </row>
    <row r="404" spans="1:17">
      <c r="A404">
        <v>1414</v>
      </c>
      <c r="B404" t="s">
        <v>64</v>
      </c>
      <c r="C404" s="9" t="str">
        <f t="shared" si="48"/>
        <v>Ethan Clark</v>
      </c>
      <c r="D404" s="7" t="str">
        <f t="shared" si="49"/>
        <v xml:space="preserve"> Ethan Clark </v>
      </c>
      <c r="E404">
        <v>62</v>
      </c>
      <c r="F404" s="7">
        <f t="shared" si="50"/>
        <v>62</v>
      </c>
      <c r="G404" t="s">
        <v>48</v>
      </c>
      <c r="H404" s="7" t="str">
        <f t="shared" si="51"/>
        <v>France</v>
      </c>
      <c r="I404" t="s">
        <v>451</v>
      </c>
      <c r="J404" s="7" t="str">
        <f>TEXT(
  IFERROR(
    DATEVALUE(SUBSTITUTE(SUBSTITUTE(TRIM(I404),"T"," "),"Z","")),
    IFERROR(
      DATE(
        RIGHT(TRIM(I404),4),
        MID(TRIM(I404),4,2),
        LEFT(TRIM(I404),2)
      ),
      DATE(
        VALUE(RIGHT(TRIM(I404),4)),
        MATCH(LEFT(TRIM(I404),FIND(" ",TRIM(I404))-1),
          {"January","February","March","April","May","June","July","August","September","October","November","December"},0),
        VALUE(MID(TRIM(I404),
          FIND(" ",TRIM(I404))+1,
          FIND(" ",TRIM(I404),FIND(" ",TRIM(I404))+1)-FIND(" ",TRIM(I404))-1))
      )
    )
  ),
"yyyy-mm-dd")</f>
        <v>2023-03-05</v>
      </c>
      <c r="K404" s="5" t="str">
        <f t="shared" si="52"/>
        <v>Mar</v>
      </c>
      <c r="L404">
        <v>1676354739</v>
      </c>
      <c r="M404" s="11">
        <f t="shared" si="53"/>
        <v>44971.253923611112</v>
      </c>
      <c r="O404" s="7">
        <f t="shared" si="54"/>
        <v>0</v>
      </c>
      <c r="P404" t="s">
        <v>52</v>
      </c>
      <c r="Q404" s="7" t="str">
        <f t="shared" si="55"/>
        <v xml:space="preserve">Prefers email </v>
      </c>
    </row>
    <row r="405" spans="1:17">
      <c r="A405">
        <v>2073</v>
      </c>
      <c r="B405" t="s">
        <v>24</v>
      </c>
      <c r="C405" s="9" t="str">
        <f t="shared" si="48"/>
        <v>Renée Dupont</v>
      </c>
      <c r="D405" s="7" t="str">
        <f t="shared" si="49"/>
        <v>Renée Dupont</v>
      </c>
      <c r="E405">
        <v>50</v>
      </c>
      <c r="F405" s="7">
        <f t="shared" si="50"/>
        <v>50</v>
      </c>
      <c r="G405" t="s">
        <v>116</v>
      </c>
      <c r="H405" s="7" t="str">
        <f t="shared" si="51"/>
        <v>China</v>
      </c>
      <c r="I405" t="s">
        <v>452</v>
      </c>
      <c r="J405" s="7" t="str">
        <f>TEXT(
  IFERROR(
    DATEVALUE(SUBSTITUTE(SUBSTITUTE(TRIM(I405),"T"," "),"Z","")),
    IFERROR(
      DATE(
        RIGHT(TRIM(I405),4),
        MID(TRIM(I405),4,2),
        LEFT(TRIM(I405),2)
      ),
      DATE(
        VALUE(RIGHT(TRIM(I405),4)),
        MATCH(LEFT(TRIM(I405),FIND(" ",TRIM(I405))-1),
          {"January","February","March","April","May","June","July","August","September","October","November","December"},0),
        VALUE(MID(TRIM(I405),
          FIND(" ",TRIM(I405))+1,
          FIND(" ",TRIM(I405),FIND(" ",TRIM(I405))+1)-FIND(" ",TRIM(I405))-1))
      )
    )
  ),
"yyyy-mm-dd")</f>
        <v>2023-10-09</v>
      </c>
      <c r="K405" s="5" t="str">
        <f t="shared" si="52"/>
        <v>Oct</v>
      </c>
      <c r="L405">
        <v>1673997243</v>
      </c>
      <c r="M405" s="11">
        <f t="shared" si="53"/>
        <v>44943.968090277776</v>
      </c>
      <c r="O405" s="7">
        <f t="shared" si="54"/>
        <v>0</v>
      </c>
      <c r="P405" t="s">
        <v>27</v>
      </c>
      <c r="Q405" s="7" t="str">
        <f t="shared" si="55"/>
        <v xml:space="preserve">Holiday signup </v>
      </c>
    </row>
    <row r="406" spans="1:17">
      <c r="A406">
        <v>1371</v>
      </c>
      <c r="B406" t="s">
        <v>140</v>
      </c>
      <c r="C406" s="9" t="str">
        <f t="shared" si="48"/>
        <v>Anne Müller</v>
      </c>
      <c r="D406" s="7" t="str">
        <f t="shared" si="49"/>
        <v>Anne Müller</v>
      </c>
      <c r="E406">
        <v>18</v>
      </c>
      <c r="F406" s="7">
        <f t="shared" si="50"/>
        <v>18</v>
      </c>
      <c r="G406" t="s">
        <v>54</v>
      </c>
      <c r="H406" s="7" t="str">
        <f t="shared" si="51"/>
        <v>Brazil</v>
      </c>
      <c r="I406" t="s">
        <v>453</v>
      </c>
      <c r="J406" s="7" t="str">
        <f>TEXT(
  IFERROR(
    DATEVALUE(SUBSTITUTE(SUBSTITUTE(TRIM(I406),"T"," "),"Z","")),
    IFERROR(
      DATE(
        RIGHT(TRIM(I406),4),
        MID(TRIM(I406),4,2),
        LEFT(TRIM(I406),2)
      ),
      DATE(
        VALUE(RIGHT(TRIM(I406),4)),
        MATCH(LEFT(TRIM(I406),FIND(" ",TRIM(I406))-1),
          {"January","February","March","April","May","June","July","August","September","October","November","December"},0),
        VALUE(MID(TRIM(I406),
          FIND(" ",TRIM(I406))+1,
          FIND(" ",TRIM(I406),FIND(" ",TRIM(I406))+1)-FIND(" ",TRIM(I406))-1))
      )
    )
  ),
"yyyy-mm-dd")</f>
        <v>2023-01-07</v>
      </c>
      <c r="K406" s="5" t="str">
        <f t="shared" si="52"/>
        <v>Jan</v>
      </c>
      <c r="L406">
        <v>1689221611</v>
      </c>
      <c r="M406" s="11">
        <f t="shared" si="53"/>
        <v>45120.176053240742</v>
      </c>
      <c r="N406">
        <v>1284.56</v>
      </c>
      <c r="O406" s="7">
        <f t="shared" si="54"/>
        <v>1284.56</v>
      </c>
      <c r="P406" t="s">
        <v>27</v>
      </c>
      <c r="Q406" s="7" t="str">
        <f t="shared" si="55"/>
        <v xml:space="preserve">Holiday signup </v>
      </c>
    </row>
    <row r="407" spans="1:17">
      <c r="A407">
        <v>1570</v>
      </c>
      <c r="B407" t="s">
        <v>183</v>
      </c>
      <c r="C407" s="9" t="str">
        <f t="shared" si="48"/>
        <v>Mia Thompson</v>
      </c>
      <c r="D407" s="7" t="str">
        <f t="shared" si="49"/>
        <v>Mia Thompson</v>
      </c>
      <c r="E407">
        <v>31</v>
      </c>
      <c r="F407" s="7">
        <f t="shared" si="50"/>
        <v>31</v>
      </c>
      <c r="G407" t="s">
        <v>18</v>
      </c>
      <c r="H407" s="7" t="str">
        <f t="shared" si="51"/>
        <v>United Kingdom</v>
      </c>
      <c r="I407" t="s">
        <v>454</v>
      </c>
      <c r="J407" s="7" t="str">
        <f>TEXT(
  IFERROR(
    DATEVALUE(SUBSTITUTE(SUBSTITUTE(TRIM(I407),"T"," "),"Z","")),
    IFERROR(
      DATE(
        RIGHT(TRIM(I407),4),
        MID(TRIM(I407),4,2),
        LEFT(TRIM(I407),2)
      ),
      DATE(
        VALUE(RIGHT(TRIM(I407),4)),
        MATCH(LEFT(TRIM(I407),FIND(" ",TRIM(I407))-1),
          {"January","February","March","April","May","June","July","August","September","October","November","December"},0),
        VALUE(MID(TRIM(I407),
          FIND(" ",TRIM(I407))+1,
          FIND(" ",TRIM(I407),FIND(" ",TRIM(I407))+1)-FIND(" ",TRIM(I407))-1))
      )
    )
  ),
"yyyy-mm-dd")</f>
        <v>2023-01-29</v>
      </c>
      <c r="K407" s="5" t="str">
        <f t="shared" si="52"/>
        <v>Jan</v>
      </c>
      <c r="L407">
        <v>1673756154</v>
      </c>
      <c r="M407" s="11">
        <f t="shared" si="53"/>
        <v>44941.177708333329</v>
      </c>
      <c r="N407">
        <v>226.61</v>
      </c>
      <c r="O407" s="7">
        <f t="shared" si="54"/>
        <v>226.61</v>
      </c>
      <c r="P407" t="s">
        <v>27</v>
      </c>
      <c r="Q407" s="7" t="str">
        <f t="shared" si="55"/>
        <v xml:space="preserve">Holiday signup </v>
      </c>
    </row>
    <row r="408" spans="1:17">
      <c r="A408">
        <v>2186</v>
      </c>
      <c r="B408" t="s">
        <v>90</v>
      </c>
      <c r="C408" s="9" t="str">
        <f t="shared" si="48"/>
        <v>Olivia Wilson</v>
      </c>
      <c r="D408" s="7" t="str">
        <f t="shared" si="49"/>
        <v>Olivia Wilson</v>
      </c>
      <c r="F408" s="7">
        <f t="shared" si="50"/>
        <v>43</v>
      </c>
      <c r="G408" t="s">
        <v>122</v>
      </c>
      <c r="H408" s="7" t="str">
        <f t="shared" si="51"/>
        <v>Italy</v>
      </c>
      <c r="I408" t="s">
        <v>75</v>
      </c>
      <c r="J408" s="7" t="str">
        <f>TEXT(
  IFERROR(
    DATEVALUE(SUBSTITUTE(SUBSTITUTE(TRIM(I408),"T"," "),"Z","")),
    IFERROR(
      DATE(
        RIGHT(TRIM(I408),4),
        MID(TRIM(I408),4,2),
        LEFT(TRIM(I408),2)
      ),
      DATE(
        VALUE(RIGHT(TRIM(I408),4)),
        MATCH(LEFT(TRIM(I408),FIND(" ",TRIM(I408))-1),
          {"January","February","March","April","May","June","July","August","September","October","November","December"},0),
        VALUE(MID(TRIM(I408),
          FIND(" ",TRIM(I408))+1,
          FIND(" ",TRIM(I408),FIND(" ",TRIM(I408))+1)-FIND(" ",TRIM(I408))-1))
      )
    )
  ),
"yyyy-mm-dd")</f>
        <v>2023-07-14</v>
      </c>
      <c r="K408" s="5" t="str">
        <f t="shared" si="52"/>
        <v>Jul</v>
      </c>
      <c r="L408">
        <v>1697973090</v>
      </c>
      <c r="M408" s="11">
        <f t="shared" si="53"/>
        <v>45221.466319444444</v>
      </c>
      <c r="N408">
        <v>646.71</v>
      </c>
      <c r="O408" s="7">
        <f t="shared" si="54"/>
        <v>646.71</v>
      </c>
      <c r="P408" t="s">
        <v>58</v>
      </c>
      <c r="Q408" s="7" t="str">
        <f t="shared" si="55"/>
        <v>Student account</v>
      </c>
    </row>
    <row r="409" spans="1:17">
      <c r="A409">
        <v>1965</v>
      </c>
      <c r="B409" t="s">
        <v>43</v>
      </c>
      <c r="C409" s="9" t="str">
        <f t="shared" si="48"/>
        <v>Carlos García</v>
      </c>
      <c r="D409" s="7" t="str">
        <f t="shared" si="49"/>
        <v xml:space="preserve"> Carlos García </v>
      </c>
      <c r="E409">
        <v>39</v>
      </c>
      <c r="F409" s="7">
        <f t="shared" si="50"/>
        <v>39</v>
      </c>
      <c r="G409" t="s">
        <v>44</v>
      </c>
      <c r="H409" s="7" t="str">
        <f t="shared" si="51"/>
        <v>UAE</v>
      </c>
      <c r="I409" t="s">
        <v>455</v>
      </c>
      <c r="J409" s="7" t="str">
        <f>TEXT(
  IFERROR(
    DATEVALUE(SUBSTITUTE(SUBSTITUTE(TRIM(I409),"T"," "),"Z","")),
    IFERROR(
      DATE(
        RIGHT(TRIM(I409),4),
        MID(TRIM(I409),4,2),
        LEFT(TRIM(I409),2)
      ),
      DATE(
        VALUE(RIGHT(TRIM(I409),4)),
        MATCH(LEFT(TRIM(I409),FIND(" ",TRIM(I409))-1),
          {"January","February","March","April","May","June","July","August","September","October","November","December"},0),
        VALUE(MID(TRIM(I409),
          FIND(" ",TRIM(I409))+1,
          FIND(" ",TRIM(I409),FIND(" ",TRIM(I409))+1)-FIND(" ",TRIM(I409))-1))
      )
    )
  ),
"yyyy-mm-dd")</f>
        <v>2023-09-26</v>
      </c>
      <c r="K409" s="5" t="str">
        <f t="shared" si="52"/>
        <v>Sep</v>
      </c>
      <c r="L409">
        <v>1695872163</v>
      </c>
      <c r="M409" s="11">
        <f t="shared" si="53"/>
        <v>45197.150034722217</v>
      </c>
      <c r="N409">
        <v>321.49</v>
      </c>
      <c r="O409" s="7">
        <f t="shared" si="54"/>
        <v>321.49</v>
      </c>
      <c r="P409" t="s">
        <v>52</v>
      </c>
      <c r="Q409" s="7" t="str">
        <f t="shared" si="55"/>
        <v xml:space="preserve">Prefers email </v>
      </c>
    </row>
    <row r="410" spans="1:17">
      <c r="A410">
        <v>1243</v>
      </c>
      <c r="B410" t="s">
        <v>17</v>
      </c>
      <c r="C410" s="9" t="str">
        <f t="shared" si="48"/>
        <v>John Smith</v>
      </c>
      <c r="D410" s="7" t="str">
        <f t="shared" si="49"/>
        <v>John Smith</v>
      </c>
      <c r="E410">
        <v>25</v>
      </c>
      <c r="F410" s="7">
        <f t="shared" si="50"/>
        <v>25</v>
      </c>
      <c r="G410" t="s">
        <v>44</v>
      </c>
      <c r="H410" s="7" t="str">
        <f t="shared" si="51"/>
        <v>UAE</v>
      </c>
      <c r="I410" t="s">
        <v>456</v>
      </c>
      <c r="J410" s="7" t="str">
        <f>TEXT(
  IFERROR(
    DATEVALUE(SUBSTITUTE(SUBSTITUTE(TRIM(I410),"T"," "),"Z","")),
    IFERROR(
      DATE(
        RIGHT(TRIM(I410),4),
        MID(TRIM(I410),4,2),
        LEFT(TRIM(I410),2)
      ),
      DATE(
        VALUE(RIGHT(TRIM(I410),4)),
        MATCH(LEFT(TRIM(I410),FIND(" ",TRIM(I410))-1),
          {"January","February","March","April","May","June","July","August","September","October","November","December"},0),
        VALUE(MID(TRIM(I410),
          FIND(" ",TRIM(I410))+1,
          FIND(" ",TRIM(I410),FIND(" ",TRIM(I410))+1)-FIND(" ",TRIM(I410))-1))
      )
    )
  ),
"yyyy-mm-dd")</f>
        <v>2023-07-31</v>
      </c>
      <c r="K410" s="5" t="str">
        <f t="shared" si="52"/>
        <v>Jul</v>
      </c>
      <c r="L410">
        <v>1683724209</v>
      </c>
      <c r="M410" s="11">
        <f t="shared" si="53"/>
        <v>45056.548715277779</v>
      </c>
      <c r="N410">
        <v>530.98</v>
      </c>
      <c r="O410" s="7">
        <f t="shared" si="54"/>
        <v>530.98</v>
      </c>
      <c r="P410" t="s">
        <v>20</v>
      </c>
      <c r="Q410" s="7" t="str">
        <f t="shared" si="55"/>
        <v xml:space="preserve">Great customer </v>
      </c>
    </row>
    <row r="411" spans="1:17">
      <c r="A411">
        <v>1413</v>
      </c>
      <c r="B411" t="s">
        <v>31</v>
      </c>
      <c r="C411" s="9" t="str">
        <f t="shared" si="48"/>
        <v>Renée Dupont</v>
      </c>
      <c r="D411" s="7" t="str">
        <f t="shared" si="49"/>
        <v xml:space="preserve"> Renée Dupont </v>
      </c>
      <c r="F411" s="7">
        <f t="shared" si="50"/>
        <v>43</v>
      </c>
      <c r="G411" t="s">
        <v>67</v>
      </c>
      <c r="H411" s="7" t="str">
        <f t="shared" si="51"/>
        <v>Sweden</v>
      </c>
      <c r="I411" t="s">
        <v>457</v>
      </c>
      <c r="J411" s="7" t="str">
        <f>TEXT(
  IFERROR(
    DATEVALUE(SUBSTITUTE(SUBSTITUTE(TRIM(I411),"T"," "),"Z","")),
    IFERROR(
      DATE(
        RIGHT(TRIM(I411),4),
        MID(TRIM(I411),4,2),
        LEFT(TRIM(I411),2)
      ),
      DATE(
        VALUE(RIGHT(TRIM(I411),4)),
        MATCH(LEFT(TRIM(I411),FIND(" ",TRIM(I411))-1),
          {"January","February","March","April","May","June","July","August","September","October","November","December"},0),
        VALUE(MID(TRIM(I411),
          FIND(" ",TRIM(I411))+1,
          FIND(" ",TRIM(I411),FIND(" ",TRIM(I411))+1)-FIND(" ",TRIM(I411))-1))
      )
    )
  ),
"yyyy-mm-dd")</f>
        <v>2023-09-10</v>
      </c>
      <c r="K411" s="5" t="str">
        <f t="shared" si="52"/>
        <v>Sep</v>
      </c>
      <c r="L411">
        <v>1698261343</v>
      </c>
      <c r="M411" s="11">
        <f t="shared" si="53"/>
        <v>45224.802581018521</v>
      </c>
      <c r="O411" s="7">
        <f t="shared" si="54"/>
        <v>0</v>
      </c>
      <c r="P411" t="s">
        <v>84</v>
      </c>
      <c r="Q411" s="7" t="str">
        <f t="shared" si="55"/>
        <v xml:space="preserve">Newsletter subscriber </v>
      </c>
    </row>
    <row r="412" spans="1:17">
      <c r="A412">
        <v>1987</v>
      </c>
      <c r="B412" t="s">
        <v>56</v>
      </c>
      <c r="C412" s="9" t="str">
        <f t="shared" si="48"/>
        <v>Carlos García</v>
      </c>
      <c r="D412" s="7" t="str">
        <f t="shared" si="49"/>
        <v>Carlos García</v>
      </c>
      <c r="F412" s="7">
        <f t="shared" si="50"/>
        <v>43</v>
      </c>
      <c r="G412" t="s">
        <v>44</v>
      </c>
      <c r="H412" s="7" t="str">
        <f t="shared" si="51"/>
        <v>UAE</v>
      </c>
      <c r="I412" t="s">
        <v>458</v>
      </c>
      <c r="J412" s="7" t="str">
        <f>TEXT(
  IFERROR(
    DATEVALUE(SUBSTITUTE(SUBSTITUTE(TRIM(I412),"T"," "),"Z","")),
    IFERROR(
      DATE(
        RIGHT(TRIM(I412),4),
        MID(TRIM(I412),4,2),
        LEFT(TRIM(I412),2)
      ),
      DATE(
        VALUE(RIGHT(TRIM(I412),4)),
        MATCH(LEFT(TRIM(I412),FIND(" ",TRIM(I412))-1),
          {"January","February","March","April","May","June","July","August","September","October","November","December"},0),
        VALUE(MID(TRIM(I412),
          FIND(" ",TRIM(I412))+1,
          FIND(" ",TRIM(I412),FIND(" ",TRIM(I412))+1)-FIND(" ",TRIM(I412))-1))
      )
    )
  ),
"yyyy-mm-dd")</f>
        <v>2023-01-29</v>
      </c>
      <c r="K412" s="5" t="str">
        <f t="shared" si="52"/>
        <v>Jan</v>
      </c>
      <c r="L412">
        <v>1682568309</v>
      </c>
      <c r="M412" s="11">
        <f t="shared" si="53"/>
        <v>45043.17024305556</v>
      </c>
      <c r="O412" s="7">
        <f t="shared" si="54"/>
        <v>0</v>
      </c>
      <c r="P412" t="s">
        <v>46</v>
      </c>
      <c r="Q412" s="7" t="str">
        <f t="shared" si="55"/>
        <v>Corporate account</v>
      </c>
    </row>
    <row r="413" spans="1:17">
      <c r="A413">
        <v>2098</v>
      </c>
      <c r="B413" t="s">
        <v>94</v>
      </c>
      <c r="C413" s="9" t="str">
        <f t="shared" si="48"/>
        <v>John Smith</v>
      </c>
      <c r="D413" s="7" t="str">
        <f t="shared" si="49"/>
        <v xml:space="preserve"> John Smith </v>
      </c>
      <c r="F413" s="7">
        <f t="shared" si="50"/>
        <v>43</v>
      </c>
      <c r="G413" t="s">
        <v>29</v>
      </c>
      <c r="H413" s="7" t="str">
        <f t="shared" si="51"/>
        <v>United States</v>
      </c>
      <c r="I413" t="s">
        <v>459</v>
      </c>
      <c r="J413" s="7" t="str">
        <f>TEXT(
  IFERROR(
    DATEVALUE(SUBSTITUTE(SUBSTITUTE(TRIM(I413),"T"," "),"Z","")),
    IFERROR(
      DATE(
        RIGHT(TRIM(I413),4),
        MID(TRIM(I413),4,2),
        LEFT(TRIM(I413),2)
      ),
      DATE(
        VALUE(RIGHT(TRIM(I413),4)),
        MATCH(LEFT(TRIM(I413),FIND(" ",TRIM(I413))-1),
          {"January","February","March","April","May","June","July","August","September","October","November","December"},0),
        VALUE(MID(TRIM(I413),
          FIND(" ",TRIM(I413))+1,
          FIND(" ",TRIM(I413),FIND(" ",TRIM(I413))+1)-FIND(" ",TRIM(I413))-1))
      )
    )
  ),
"yyyy-mm-dd")</f>
        <v>2023-03-18</v>
      </c>
      <c r="K413" s="5" t="str">
        <f t="shared" si="52"/>
        <v>Mar</v>
      </c>
      <c r="L413">
        <v>1700734524</v>
      </c>
      <c r="M413" s="11">
        <f t="shared" si="53"/>
        <v>45253.427361111113</v>
      </c>
      <c r="O413" s="7">
        <f t="shared" si="54"/>
        <v>0</v>
      </c>
      <c r="P413" t="s">
        <v>46</v>
      </c>
      <c r="Q413" s="7" t="str">
        <f t="shared" si="55"/>
        <v>Corporate account</v>
      </c>
    </row>
    <row r="414" spans="1:17">
      <c r="A414">
        <v>1340</v>
      </c>
      <c r="B414" t="s">
        <v>166</v>
      </c>
      <c r="C414" s="9" t="str">
        <f t="shared" si="48"/>
        <v>Daniel Kim</v>
      </c>
      <c r="D414" s="7" t="str">
        <f t="shared" si="49"/>
        <v>Daniel Kim</v>
      </c>
      <c r="E414">
        <v>29</v>
      </c>
      <c r="F414" s="7">
        <f t="shared" si="50"/>
        <v>29</v>
      </c>
      <c r="G414" t="s">
        <v>102</v>
      </c>
      <c r="H414" s="7" t="str">
        <f t="shared" si="51"/>
        <v>Mexico</v>
      </c>
      <c r="I414" t="s">
        <v>460</v>
      </c>
      <c r="J414" s="7" t="str">
        <f>TEXT(
  IFERROR(
    DATEVALUE(SUBSTITUTE(SUBSTITUTE(TRIM(I414),"T"," "),"Z","")),
    IFERROR(
      DATE(
        RIGHT(TRIM(I414),4),
        MID(TRIM(I414),4,2),
        LEFT(TRIM(I414),2)
      ),
      DATE(
        VALUE(RIGHT(TRIM(I414),4)),
        MATCH(LEFT(TRIM(I414),FIND(" ",TRIM(I414))-1),
          {"January","February","March","April","May","June","July","August","September","October","November","December"},0),
        VALUE(MID(TRIM(I414),
          FIND(" ",TRIM(I414))+1,
          FIND(" ",TRIM(I414),FIND(" ",TRIM(I414))+1)-FIND(" ",TRIM(I414))-1))
      )
    )
  ),
"yyyy-mm-dd")</f>
        <v>2023-12-28</v>
      </c>
      <c r="K414" s="5" t="str">
        <f t="shared" si="52"/>
        <v>Dec</v>
      </c>
      <c r="L414">
        <v>1696342278</v>
      </c>
      <c r="M414" s="11">
        <f t="shared" si="53"/>
        <v>45202.591180555552</v>
      </c>
      <c r="O414" s="7">
        <f t="shared" si="54"/>
        <v>0</v>
      </c>
      <c r="P414" t="s">
        <v>52</v>
      </c>
      <c r="Q414" s="7" t="str">
        <f t="shared" si="55"/>
        <v xml:space="preserve">Prefers email </v>
      </c>
    </row>
    <row r="415" spans="1:17">
      <c r="A415">
        <v>1909</v>
      </c>
      <c r="B415" t="s">
        <v>50</v>
      </c>
      <c r="C415" s="9" t="str">
        <f t="shared" si="48"/>
        <v>Ahmed Hassan</v>
      </c>
      <c r="D415" s="7" t="str">
        <f t="shared" si="49"/>
        <v xml:space="preserve"> Ahmed Hassan </v>
      </c>
      <c r="E415">
        <v>48</v>
      </c>
      <c r="F415" s="7">
        <f t="shared" si="50"/>
        <v>48</v>
      </c>
      <c r="G415" t="s">
        <v>22</v>
      </c>
      <c r="H415" s="7" t="str">
        <f t="shared" si="51"/>
        <v>Germany</v>
      </c>
      <c r="I415" t="s">
        <v>461</v>
      </c>
      <c r="J415" s="7" t="str">
        <f>TEXT(
  IFERROR(
    DATEVALUE(SUBSTITUTE(SUBSTITUTE(TRIM(I415),"T"," "),"Z","")),
    IFERROR(
      DATE(
        RIGHT(TRIM(I415),4),
        MID(TRIM(I415),4,2),
        LEFT(TRIM(I415),2)
      ),
      DATE(
        VALUE(RIGHT(TRIM(I415),4)),
        MATCH(LEFT(TRIM(I415),FIND(" ",TRIM(I415))-1),
          {"January","February","March","April","May","June","July","August","September","October","November","December"},0),
        VALUE(MID(TRIM(I415),
          FIND(" ",TRIM(I415))+1,
          FIND(" ",TRIM(I415),FIND(" ",TRIM(I415))+1)-FIND(" ",TRIM(I415))-1))
      )
    )
  ),
"yyyy-mm-dd")</f>
        <v>2023-06-24</v>
      </c>
      <c r="K415" s="5" t="str">
        <f t="shared" si="52"/>
        <v>Jun</v>
      </c>
      <c r="L415">
        <v>1697100643</v>
      </c>
      <c r="M415" s="11">
        <f t="shared" si="53"/>
        <v>45211.36855324074</v>
      </c>
      <c r="O415" s="7">
        <f t="shared" si="54"/>
        <v>0</v>
      </c>
      <c r="P415" t="s">
        <v>84</v>
      </c>
      <c r="Q415" s="7" t="str">
        <f t="shared" si="55"/>
        <v xml:space="preserve">Newsletter subscriber </v>
      </c>
    </row>
    <row r="416" spans="1:17">
      <c r="A416">
        <v>2183</v>
      </c>
      <c r="B416" t="s">
        <v>82</v>
      </c>
      <c r="C416" s="9" t="str">
        <f t="shared" si="48"/>
        <v>Björn Larsson</v>
      </c>
      <c r="D416" s="7" t="str">
        <f t="shared" si="49"/>
        <v>Björn Larsson</v>
      </c>
      <c r="E416">
        <v>31</v>
      </c>
      <c r="F416" s="7">
        <f t="shared" si="50"/>
        <v>31</v>
      </c>
      <c r="G416" t="s">
        <v>22</v>
      </c>
      <c r="H416" s="7" t="str">
        <f t="shared" si="51"/>
        <v>Germany</v>
      </c>
      <c r="I416" t="s">
        <v>462</v>
      </c>
      <c r="J416" s="7" t="str">
        <f>TEXT(
  IFERROR(
    DATEVALUE(SUBSTITUTE(SUBSTITUTE(TRIM(I416),"T"," "),"Z","")),
    IFERROR(
      DATE(
        RIGHT(TRIM(I416),4),
        MID(TRIM(I416),4,2),
        LEFT(TRIM(I416),2)
      ),
      DATE(
        VALUE(RIGHT(TRIM(I416),4)),
        MATCH(LEFT(TRIM(I416),FIND(" ",TRIM(I416))-1),
          {"January","February","March","April","May","June","July","August","September","October","November","December"},0),
        VALUE(MID(TRIM(I416),
          FIND(" ",TRIM(I416))+1,
          FIND(" ",TRIM(I416),FIND(" ",TRIM(I416))+1)-FIND(" ",TRIM(I416))-1))
      )
    )
  ),
"yyyy-mm-dd")</f>
        <v>2023-05-27</v>
      </c>
      <c r="K416" s="5" t="str">
        <f t="shared" si="52"/>
        <v>May</v>
      </c>
      <c r="L416">
        <v>1690384212</v>
      </c>
      <c r="M416" s="11">
        <f t="shared" si="53"/>
        <v>45133.63208333333</v>
      </c>
      <c r="O416" s="7">
        <f t="shared" si="54"/>
        <v>0</v>
      </c>
      <c r="P416" t="s">
        <v>52</v>
      </c>
      <c r="Q416" s="7" t="str">
        <f t="shared" si="55"/>
        <v xml:space="preserve">Prefers email </v>
      </c>
    </row>
    <row r="417" spans="1:17">
      <c r="A417">
        <v>1290</v>
      </c>
      <c r="B417" t="s">
        <v>24</v>
      </c>
      <c r="C417" s="9" t="str">
        <f t="shared" si="48"/>
        <v>Renée Dupont</v>
      </c>
      <c r="D417" s="7" t="str">
        <f t="shared" si="49"/>
        <v>Renée Dupont</v>
      </c>
      <c r="E417">
        <v>54</v>
      </c>
      <c r="F417" s="7">
        <f t="shared" si="50"/>
        <v>54</v>
      </c>
      <c r="G417" t="s">
        <v>29</v>
      </c>
      <c r="H417" s="7" t="str">
        <f t="shared" si="51"/>
        <v>United States</v>
      </c>
      <c r="I417" t="s">
        <v>463</v>
      </c>
      <c r="J417" s="7" t="str">
        <f>TEXT(
  IFERROR(
    DATEVALUE(SUBSTITUTE(SUBSTITUTE(TRIM(I417),"T"," "),"Z","")),
    IFERROR(
      DATE(
        RIGHT(TRIM(I417),4),
        MID(TRIM(I417),4,2),
        LEFT(TRIM(I417),2)
      ),
      DATE(
        VALUE(RIGHT(TRIM(I417),4)),
        MATCH(LEFT(TRIM(I417),FIND(" ",TRIM(I417))-1),
          {"January","February","March","April","May","June","July","August","September","October","November","December"},0),
        VALUE(MID(TRIM(I417),
          FIND(" ",TRIM(I417))+1,
          FIND(" ",TRIM(I417),FIND(" ",TRIM(I417))+1)-FIND(" ",TRIM(I417))-1))
      )
    )
  ),
"yyyy-mm-dd")</f>
        <v>2023-06-09</v>
      </c>
      <c r="K417" s="5" t="str">
        <f t="shared" si="52"/>
        <v>Jun</v>
      </c>
      <c r="L417">
        <v>1702462710</v>
      </c>
      <c r="M417" s="11">
        <f t="shared" si="53"/>
        <v>45273.429513888885</v>
      </c>
      <c r="O417" s="7">
        <f t="shared" si="54"/>
        <v>0</v>
      </c>
      <c r="P417" t="s">
        <v>20</v>
      </c>
      <c r="Q417" s="7" t="str">
        <f t="shared" si="55"/>
        <v xml:space="preserve">Great customer </v>
      </c>
    </row>
    <row r="418" spans="1:17">
      <c r="A418">
        <v>1267</v>
      </c>
      <c r="B418" t="s">
        <v>17</v>
      </c>
      <c r="C418" s="9" t="str">
        <f t="shared" si="48"/>
        <v>John Smith</v>
      </c>
      <c r="D418" s="7" t="str">
        <f t="shared" si="49"/>
        <v>John Smith</v>
      </c>
      <c r="E418">
        <v>61</v>
      </c>
      <c r="F418" s="7">
        <f t="shared" si="50"/>
        <v>61</v>
      </c>
      <c r="G418" t="s">
        <v>116</v>
      </c>
      <c r="H418" s="7" t="str">
        <f t="shared" si="51"/>
        <v>China</v>
      </c>
      <c r="I418" t="s">
        <v>464</v>
      </c>
      <c r="J418" s="7" t="str">
        <f>TEXT(
  IFERROR(
    DATEVALUE(SUBSTITUTE(SUBSTITUTE(TRIM(I418),"T"," "),"Z","")),
    IFERROR(
      DATE(
        RIGHT(TRIM(I418),4),
        MID(TRIM(I418),4,2),
        LEFT(TRIM(I418),2)
      ),
      DATE(
        VALUE(RIGHT(TRIM(I418),4)),
        MATCH(LEFT(TRIM(I418),FIND(" ",TRIM(I418))-1),
          {"January","February","March","April","May","June","July","August","September","October","November","December"},0),
        VALUE(MID(TRIM(I418),
          FIND(" ",TRIM(I418))+1,
          FIND(" ",TRIM(I418),FIND(" ",TRIM(I418))+1)-FIND(" ",TRIM(I418))-1))
      )
    )
  ),
"yyyy-mm-dd")</f>
        <v>2023-01-28</v>
      </c>
      <c r="K418" s="5" t="str">
        <f t="shared" si="52"/>
        <v>Jan</v>
      </c>
      <c r="L418">
        <v>1686833815</v>
      </c>
      <c r="M418" s="11">
        <f t="shared" si="53"/>
        <v>45092.539525462962</v>
      </c>
      <c r="O418" s="7">
        <f t="shared" si="54"/>
        <v>0</v>
      </c>
      <c r="P418" t="s">
        <v>27</v>
      </c>
      <c r="Q418" s="7" t="str">
        <f t="shared" si="55"/>
        <v xml:space="preserve">Holiday signup </v>
      </c>
    </row>
    <row r="419" spans="1:17">
      <c r="A419">
        <v>1729</v>
      </c>
      <c r="B419" t="s">
        <v>107</v>
      </c>
      <c r="C419" s="9" t="str">
        <f t="shared" si="48"/>
        <v>Fatima Ali</v>
      </c>
      <c r="D419" s="7" t="str">
        <f t="shared" si="49"/>
        <v>Fatima Ali</v>
      </c>
      <c r="E419">
        <v>63</v>
      </c>
      <c r="F419" s="7">
        <f t="shared" si="50"/>
        <v>63</v>
      </c>
      <c r="G419" t="s">
        <v>62</v>
      </c>
      <c r="H419" s="7" t="str">
        <f t="shared" si="51"/>
        <v>Ireland</v>
      </c>
      <c r="I419" t="s">
        <v>465</v>
      </c>
      <c r="J419" s="7" t="str">
        <f>TEXT(
  IFERROR(
    DATEVALUE(SUBSTITUTE(SUBSTITUTE(TRIM(I419),"T"," "),"Z","")),
    IFERROR(
      DATE(
        RIGHT(TRIM(I419),4),
        MID(TRIM(I419),4,2),
        LEFT(TRIM(I419),2)
      ),
      DATE(
        VALUE(RIGHT(TRIM(I419),4)),
        MATCH(LEFT(TRIM(I419),FIND(" ",TRIM(I419))-1),
          {"January","February","March","April","May","June","July","August","September","October","November","December"},0),
        VALUE(MID(TRIM(I419),
          FIND(" ",TRIM(I419))+1,
          FIND(" ",TRIM(I419),FIND(" ",TRIM(I419))+1)-FIND(" ",TRIM(I419))-1))
      )
    )
  ),
"yyyy-mm-dd")</f>
        <v>2023-02-10</v>
      </c>
      <c r="K419" s="5" t="str">
        <f t="shared" si="52"/>
        <v>Feb</v>
      </c>
      <c r="L419">
        <v>1691575847</v>
      </c>
      <c r="M419" s="11">
        <f t="shared" si="53"/>
        <v>45147.424155092594</v>
      </c>
      <c r="O419" s="7">
        <f t="shared" si="54"/>
        <v>0</v>
      </c>
      <c r="P419" t="s">
        <v>52</v>
      </c>
      <c r="Q419" s="7" t="str">
        <f t="shared" si="55"/>
        <v xml:space="preserve">Prefers email </v>
      </c>
    </row>
    <row r="420" spans="1:17">
      <c r="A420">
        <v>1934</v>
      </c>
      <c r="B420" t="s">
        <v>107</v>
      </c>
      <c r="C420" s="9" t="str">
        <f t="shared" si="48"/>
        <v>Fatima Ali</v>
      </c>
      <c r="D420" s="7" t="str">
        <f t="shared" si="49"/>
        <v>Fatima Ali</v>
      </c>
      <c r="F420" s="7">
        <f t="shared" si="50"/>
        <v>43</v>
      </c>
      <c r="G420" t="s">
        <v>38</v>
      </c>
      <c r="H420" s="7" t="str">
        <f t="shared" si="51"/>
        <v>Spain</v>
      </c>
      <c r="I420" t="s">
        <v>466</v>
      </c>
      <c r="J420" s="7" t="str">
        <f>TEXT(
  IFERROR(
    DATEVALUE(SUBSTITUTE(SUBSTITUTE(TRIM(I420),"T"," "),"Z","")),
    IFERROR(
      DATE(
        RIGHT(TRIM(I420),4),
        MID(TRIM(I420),4,2),
        LEFT(TRIM(I420),2)
      ),
      DATE(
        VALUE(RIGHT(TRIM(I420),4)),
        MATCH(LEFT(TRIM(I420),FIND(" ",TRIM(I420))-1),
          {"January","February","March","April","May","June","July","August","September","October","November","December"},0),
        VALUE(MID(TRIM(I420),
          FIND(" ",TRIM(I420))+1,
          FIND(" ",TRIM(I420),FIND(" ",TRIM(I420))+1)-FIND(" ",TRIM(I420))-1))
      )
    )
  ),
"yyyy-mm-dd")</f>
        <v>2023-04-25</v>
      </c>
      <c r="K420" s="5" t="str">
        <f t="shared" si="52"/>
        <v>Apr</v>
      </c>
      <c r="L420">
        <v>1701417596</v>
      </c>
      <c r="M420" s="11">
        <f t="shared" si="53"/>
        <v>45261.333287037036</v>
      </c>
      <c r="O420" s="7">
        <f t="shared" si="54"/>
        <v>0</v>
      </c>
      <c r="P420" t="s">
        <v>84</v>
      </c>
      <c r="Q420" s="7" t="str">
        <f t="shared" si="55"/>
        <v xml:space="preserve">Newsletter subscriber </v>
      </c>
    </row>
    <row r="421" spans="1:17">
      <c r="A421">
        <v>1803</v>
      </c>
      <c r="B421" t="s">
        <v>124</v>
      </c>
      <c r="C421" s="9" t="str">
        <f t="shared" si="48"/>
        <v>Sarah Johnson</v>
      </c>
      <c r="D421" s="7" t="str">
        <f t="shared" si="49"/>
        <v>Sarah Johnson</v>
      </c>
      <c r="F421" s="7">
        <f t="shared" si="50"/>
        <v>43</v>
      </c>
      <c r="G421" t="s">
        <v>111</v>
      </c>
      <c r="H421" s="7" t="str">
        <f t="shared" si="51"/>
        <v>South Korea</v>
      </c>
      <c r="I421" t="s">
        <v>467</v>
      </c>
      <c r="J421" s="7" t="str">
        <f>TEXT(
  IFERROR(
    DATEVALUE(SUBSTITUTE(SUBSTITUTE(TRIM(I421),"T"," "),"Z","")),
    IFERROR(
      DATE(
        RIGHT(TRIM(I421),4),
        MID(TRIM(I421),4,2),
        LEFT(TRIM(I421),2)
      ),
      DATE(
        VALUE(RIGHT(TRIM(I421),4)),
        MATCH(LEFT(TRIM(I421),FIND(" ",TRIM(I421))-1),
          {"January","February","March","April","May","June","July","August","September","October","November","December"},0),
        VALUE(MID(TRIM(I421),
          FIND(" ",TRIM(I421))+1,
          FIND(" ",TRIM(I421),FIND(" ",TRIM(I421))+1)-FIND(" ",TRIM(I421))-1))
      )
    )
  ),
"yyyy-mm-dd")</f>
        <v>2023-09-07</v>
      </c>
      <c r="K421" s="5" t="str">
        <f t="shared" si="52"/>
        <v>Sep</v>
      </c>
      <c r="L421">
        <v>1674717292</v>
      </c>
      <c r="M421" s="11">
        <f t="shared" si="53"/>
        <v>44952.301990740743</v>
      </c>
      <c r="O421" s="7">
        <f t="shared" si="54"/>
        <v>0</v>
      </c>
      <c r="P421" t="s">
        <v>36</v>
      </c>
      <c r="Q421" s="7" t="str">
        <f t="shared" si="55"/>
        <v>Regular shopper</v>
      </c>
    </row>
    <row r="422" spans="1:17">
      <c r="A422">
        <v>1945</v>
      </c>
      <c r="B422" t="s">
        <v>120</v>
      </c>
      <c r="C422" s="9" t="str">
        <f t="shared" si="48"/>
        <v>Sarah Johnson</v>
      </c>
      <c r="D422" s="7" t="str">
        <f t="shared" si="49"/>
        <v xml:space="preserve"> Sarah Johnson </v>
      </c>
      <c r="E422">
        <v>56</v>
      </c>
      <c r="F422" s="7">
        <f t="shared" si="50"/>
        <v>56</v>
      </c>
      <c r="G422" t="s">
        <v>18</v>
      </c>
      <c r="H422" s="7" t="str">
        <f t="shared" si="51"/>
        <v>United Kingdom</v>
      </c>
      <c r="I422" t="s">
        <v>441</v>
      </c>
      <c r="J422" s="7" t="str">
        <f>TEXT(
  IFERROR(
    DATEVALUE(SUBSTITUTE(SUBSTITUTE(TRIM(I422),"T"," "),"Z","")),
    IFERROR(
      DATE(
        RIGHT(TRIM(I422),4),
        MID(TRIM(I422),4,2),
        LEFT(TRIM(I422),2)
      ),
      DATE(
        VALUE(RIGHT(TRIM(I422),4)),
        MATCH(LEFT(TRIM(I422),FIND(" ",TRIM(I422))-1),
          {"January","February","March","April","May","June","July","August","September","October","November","December"},0),
        VALUE(MID(TRIM(I422),
          FIND(" ",TRIM(I422))+1,
          FIND(" ",TRIM(I422),FIND(" ",TRIM(I422))+1)-FIND(" ",TRIM(I422))-1))
      )
    )
  ),
"yyyy-mm-dd")</f>
        <v>2023-09-18</v>
      </c>
      <c r="K422" s="5" t="str">
        <f t="shared" si="52"/>
        <v>Sep</v>
      </c>
      <c r="L422">
        <v>1686136562</v>
      </c>
      <c r="M422" s="11">
        <f t="shared" si="53"/>
        <v>45084.469467592593</v>
      </c>
      <c r="N422">
        <v>1228.1500000000001</v>
      </c>
      <c r="O422" s="7">
        <f t="shared" si="54"/>
        <v>1228.1500000000001</v>
      </c>
      <c r="P422" t="s">
        <v>84</v>
      </c>
      <c r="Q422" s="7" t="str">
        <f t="shared" si="55"/>
        <v xml:space="preserve">Newsletter subscriber </v>
      </c>
    </row>
    <row r="423" spans="1:17">
      <c r="A423">
        <v>1787</v>
      </c>
      <c r="B423" t="s">
        <v>47</v>
      </c>
      <c r="C423" s="9" t="str">
        <f t="shared" si="48"/>
        <v>Li Wei</v>
      </c>
      <c r="D423" s="7" t="str">
        <f t="shared" si="49"/>
        <v>Li Wei</v>
      </c>
      <c r="F423" s="7">
        <f t="shared" si="50"/>
        <v>43</v>
      </c>
      <c r="G423" t="s">
        <v>44</v>
      </c>
      <c r="H423" s="7" t="str">
        <f t="shared" si="51"/>
        <v>UAE</v>
      </c>
      <c r="I423" t="s">
        <v>468</v>
      </c>
      <c r="J423" s="7" t="str">
        <f>TEXT(
  IFERROR(
    DATEVALUE(SUBSTITUTE(SUBSTITUTE(TRIM(I423),"T"," "),"Z","")),
    IFERROR(
      DATE(
        RIGHT(TRIM(I423),4),
        MID(TRIM(I423),4,2),
        LEFT(TRIM(I423),2)
      ),
      DATE(
        VALUE(RIGHT(TRIM(I423),4)),
        MATCH(LEFT(TRIM(I423),FIND(" ",TRIM(I423))-1),
          {"January","February","March","April","May","June","July","August","September","October","November","December"},0),
        VALUE(MID(TRIM(I423),
          FIND(" ",TRIM(I423))+1,
          FIND(" ",TRIM(I423),FIND(" ",TRIM(I423))+1)-FIND(" ",TRIM(I423))-1))
      )
    )
  ),
"yyyy-mm-dd")</f>
        <v>2023-10-18</v>
      </c>
      <c r="K423" s="5" t="str">
        <f t="shared" si="52"/>
        <v>Oct</v>
      </c>
      <c r="L423">
        <v>1690795290</v>
      </c>
      <c r="M423" s="11">
        <f t="shared" si="53"/>
        <v>45138.389930555553</v>
      </c>
      <c r="N423">
        <v>1044.26</v>
      </c>
      <c r="O423" s="7">
        <f t="shared" si="54"/>
        <v>1044.26</v>
      </c>
      <c r="P423" t="s">
        <v>52</v>
      </c>
      <c r="Q423" s="7" t="str">
        <f t="shared" si="55"/>
        <v xml:space="preserve">Prefers email </v>
      </c>
    </row>
    <row r="424" spans="1:17">
      <c r="A424">
        <v>2176</v>
      </c>
      <c r="B424" t="s">
        <v>69</v>
      </c>
      <c r="C424" s="9" t="str">
        <f t="shared" si="48"/>
        <v>Isabella Martinez</v>
      </c>
      <c r="D424" s="7" t="str">
        <f t="shared" si="49"/>
        <v xml:space="preserve"> Isabella Martinez </v>
      </c>
      <c r="F424" s="7">
        <f t="shared" si="50"/>
        <v>43</v>
      </c>
      <c r="G424" t="s">
        <v>62</v>
      </c>
      <c r="H424" s="7" t="str">
        <f t="shared" si="51"/>
        <v>Ireland</v>
      </c>
      <c r="I424" t="s">
        <v>70</v>
      </c>
      <c r="J424" s="7" t="str">
        <f>TEXT(
  IFERROR(
    DATEVALUE(SUBSTITUTE(SUBSTITUTE(TRIM(I424),"T"," "),"Z","")),
    IFERROR(
      DATE(
        RIGHT(TRIM(I424),4),
        MID(TRIM(I424),4,2),
        LEFT(TRIM(I424),2)
      ),
      DATE(
        VALUE(RIGHT(TRIM(I424),4)),
        MATCH(LEFT(TRIM(I424),FIND(" ",TRIM(I424))-1),
          {"January","February","March","April","May","June","July","August","September","October","November","December"},0),
        VALUE(MID(TRIM(I424),
          FIND(" ",TRIM(I424))+1,
          FIND(" ",TRIM(I424),FIND(" ",TRIM(I424))+1)-FIND(" ",TRIM(I424))-1))
      )
    )
  ),
"yyyy-mm-dd")</f>
        <v>2023-02-19</v>
      </c>
      <c r="K424" s="5" t="str">
        <f t="shared" si="52"/>
        <v>Feb</v>
      </c>
      <c r="L424">
        <v>1678435418</v>
      </c>
      <c r="M424" s="11">
        <f t="shared" si="53"/>
        <v>44995.335856481484</v>
      </c>
      <c r="O424" s="7">
        <f t="shared" si="54"/>
        <v>0</v>
      </c>
      <c r="P424" t="s">
        <v>52</v>
      </c>
      <c r="Q424" s="7" t="str">
        <f t="shared" si="55"/>
        <v xml:space="preserve">Prefers email </v>
      </c>
    </row>
    <row r="425" spans="1:17">
      <c r="A425">
        <v>1223</v>
      </c>
      <c r="B425" t="s">
        <v>101</v>
      </c>
      <c r="C425" s="9" t="str">
        <f t="shared" si="48"/>
        <v>Zoë Kravitz</v>
      </c>
      <c r="D425" s="7" t="str">
        <f t="shared" si="49"/>
        <v>Zoë Kravitz</v>
      </c>
      <c r="F425" s="7">
        <f t="shared" si="50"/>
        <v>43</v>
      </c>
      <c r="G425" t="s">
        <v>29</v>
      </c>
      <c r="H425" s="7" t="str">
        <f t="shared" si="51"/>
        <v>United States</v>
      </c>
      <c r="I425" t="s">
        <v>469</v>
      </c>
      <c r="J425" s="7" t="str">
        <f>TEXT(
  IFERROR(
    DATEVALUE(SUBSTITUTE(SUBSTITUTE(TRIM(I425),"T"," "),"Z","")),
    IFERROR(
      DATE(
        RIGHT(TRIM(I425),4),
        MID(TRIM(I425),4,2),
        LEFT(TRIM(I425),2)
      ),
      DATE(
        VALUE(RIGHT(TRIM(I425),4)),
        MATCH(LEFT(TRIM(I425),FIND(" ",TRIM(I425))-1),
          {"January","February","March","April","May","June","July","August","September","October","November","December"},0),
        VALUE(MID(TRIM(I425),
          FIND(" ",TRIM(I425))+1,
          FIND(" ",TRIM(I425),FIND(" ",TRIM(I425))+1)-FIND(" ",TRIM(I425))-1))
      )
    )
  ),
"yyyy-mm-dd")</f>
        <v>2023-02-16</v>
      </c>
      <c r="K425" s="5" t="str">
        <f t="shared" si="52"/>
        <v>Feb</v>
      </c>
      <c r="L425">
        <v>1699939098</v>
      </c>
      <c r="M425" s="11">
        <f t="shared" si="53"/>
        <v>45244.221041666664</v>
      </c>
      <c r="N425">
        <v>216.99</v>
      </c>
      <c r="O425" s="7">
        <f t="shared" si="54"/>
        <v>216.99</v>
      </c>
      <c r="P425" t="s">
        <v>33</v>
      </c>
      <c r="Q425" s="7" t="str">
        <f t="shared" si="55"/>
        <v>Frequent buyer n</v>
      </c>
    </row>
    <row r="426" spans="1:17">
      <c r="A426">
        <v>1306</v>
      </c>
      <c r="B426" t="s">
        <v>210</v>
      </c>
      <c r="C426" s="9" t="str">
        <f t="shared" si="48"/>
        <v>Ethan Clark</v>
      </c>
      <c r="D426" s="7" t="str">
        <f t="shared" si="49"/>
        <v>Ethan Clark</v>
      </c>
      <c r="E426">
        <v>57</v>
      </c>
      <c r="F426" s="7">
        <f t="shared" si="50"/>
        <v>57</v>
      </c>
      <c r="G426" t="s">
        <v>111</v>
      </c>
      <c r="H426" s="7" t="str">
        <f t="shared" si="51"/>
        <v>South Korea</v>
      </c>
      <c r="I426" t="s">
        <v>411</v>
      </c>
      <c r="J426" s="7" t="str">
        <f>TEXT(
  IFERROR(
    DATEVALUE(SUBSTITUTE(SUBSTITUTE(TRIM(I426),"T"," "),"Z","")),
    IFERROR(
      DATE(
        RIGHT(TRIM(I426),4),
        MID(TRIM(I426),4,2),
        LEFT(TRIM(I426),2)
      ),
      DATE(
        VALUE(RIGHT(TRIM(I426),4)),
        MATCH(LEFT(TRIM(I426),FIND(" ",TRIM(I426))-1),
          {"January","February","March","April","May","June","July","August","September","October","November","December"},0),
        VALUE(MID(TRIM(I426),
          FIND(" ",TRIM(I426))+1,
          FIND(" ",TRIM(I426),FIND(" ",TRIM(I426))+1)-FIND(" ",TRIM(I426))-1))
      )
    )
  ),
"yyyy-mm-dd")</f>
        <v>2023-04-11</v>
      </c>
      <c r="K426" s="5" t="str">
        <f t="shared" si="52"/>
        <v>Apr</v>
      </c>
      <c r="L426">
        <v>1695391908</v>
      </c>
      <c r="M426" s="11">
        <f t="shared" si="53"/>
        <v>45191.591527777782</v>
      </c>
      <c r="O426" s="7">
        <f t="shared" si="54"/>
        <v>0</v>
      </c>
      <c r="P426" t="s">
        <v>27</v>
      </c>
      <c r="Q426" s="7" t="str">
        <f t="shared" si="55"/>
        <v xml:space="preserve">Holiday signup </v>
      </c>
    </row>
    <row r="427" spans="1:17">
      <c r="A427">
        <v>1757</v>
      </c>
      <c r="B427" t="s">
        <v>148</v>
      </c>
      <c r="C427" s="9" t="str">
        <f t="shared" si="48"/>
        <v>Chloe Dubois</v>
      </c>
      <c r="D427" s="7" t="str">
        <f t="shared" si="49"/>
        <v>Chloe Dubois</v>
      </c>
      <c r="E427">
        <v>63</v>
      </c>
      <c r="F427" s="7">
        <f t="shared" si="50"/>
        <v>63</v>
      </c>
      <c r="G427" t="s">
        <v>122</v>
      </c>
      <c r="H427" s="7" t="str">
        <f t="shared" si="51"/>
        <v>Italy</v>
      </c>
      <c r="I427" t="s">
        <v>213</v>
      </c>
      <c r="J427" s="7" t="str">
        <f>TEXT(
  IFERROR(
    DATEVALUE(SUBSTITUTE(SUBSTITUTE(TRIM(I427),"T"," "),"Z","")),
    IFERROR(
      DATE(
        RIGHT(TRIM(I427),4),
        MID(TRIM(I427),4,2),
        LEFT(TRIM(I427),2)
      ),
      DATE(
        VALUE(RIGHT(TRIM(I427),4)),
        MATCH(LEFT(TRIM(I427),FIND(" ",TRIM(I427))-1),
          {"January","February","March","April","May","June","July","August","September","October","November","December"},0),
        VALUE(MID(TRIM(I427),
          FIND(" ",TRIM(I427))+1,
          FIND(" ",TRIM(I427),FIND(" ",TRIM(I427))+1)-FIND(" ",TRIM(I427))-1))
      )
    )
  ),
"yyyy-mm-dd")</f>
        <v>2023-02-26</v>
      </c>
      <c r="K427" s="5" t="str">
        <f t="shared" si="52"/>
        <v>Feb</v>
      </c>
      <c r="L427">
        <v>1701571388</v>
      </c>
      <c r="M427" s="11">
        <f t="shared" si="53"/>
        <v>45263.113287037035</v>
      </c>
      <c r="O427" s="7">
        <f t="shared" si="54"/>
        <v>0</v>
      </c>
      <c r="P427" t="s">
        <v>27</v>
      </c>
      <c r="Q427" s="7" t="str">
        <f t="shared" si="55"/>
        <v xml:space="preserve">Holiday signup </v>
      </c>
    </row>
    <row r="428" spans="1:17">
      <c r="A428">
        <v>1808</v>
      </c>
      <c r="B428" t="s">
        <v>185</v>
      </c>
      <c r="C428" s="9" t="str">
        <f t="shared" si="48"/>
        <v>Liam O’Connor</v>
      </c>
      <c r="D428" s="7" t="str">
        <f t="shared" si="49"/>
        <v>Liam O’Connor</v>
      </c>
      <c r="F428" s="7">
        <f t="shared" si="50"/>
        <v>43</v>
      </c>
      <c r="G428" t="s">
        <v>44</v>
      </c>
      <c r="H428" s="7" t="str">
        <f t="shared" si="51"/>
        <v>UAE</v>
      </c>
      <c r="I428" t="s">
        <v>470</v>
      </c>
      <c r="J428" s="7" t="str">
        <f>TEXT(
  IFERROR(
    DATEVALUE(SUBSTITUTE(SUBSTITUTE(TRIM(I428),"T"," "),"Z","")),
    IFERROR(
      DATE(
        RIGHT(TRIM(I428),4),
        MID(TRIM(I428),4,2),
        LEFT(TRIM(I428),2)
      ),
      DATE(
        VALUE(RIGHT(TRIM(I428),4)),
        MATCH(LEFT(TRIM(I428),FIND(" ",TRIM(I428))-1),
          {"January","February","March","April","May","June","July","August","September","October","November","December"},0),
        VALUE(MID(TRIM(I428),
          FIND(" ",TRIM(I428))+1,
          FIND(" ",TRIM(I428),FIND(" ",TRIM(I428))+1)-FIND(" ",TRIM(I428))-1))
      )
    )
  ),
"yyyy-mm-dd")</f>
        <v>2023-10-07</v>
      </c>
      <c r="K428" s="5" t="str">
        <f t="shared" si="52"/>
        <v>Oct</v>
      </c>
      <c r="L428">
        <v>1694753393</v>
      </c>
      <c r="M428" s="11">
        <f t="shared" si="53"/>
        <v>45184.201307870375</v>
      </c>
      <c r="N428">
        <v>268.38</v>
      </c>
      <c r="O428" s="7">
        <f t="shared" si="54"/>
        <v>268.38</v>
      </c>
      <c r="P428" t="s">
        <v>40</v>
      </c>
      <c r="Q428" s="7" t="str">
        <f t="shared" si="55"/>
        <v xml:space="preserve">VIP client </v>
      </c>
    </row>
    <row r="429" spans="1:17">
      <c r="A429">
        <v>2138</v>
      </c>
      <c r="B429" t="s">
        <v>126</v>
      </c>
      <c r="C429" s="9" t="str">
        <f t="shared" si="48"/>
        <v>Noah Martin</v>
      </c>
      <c r="D429" s="7" t="str">
        <f t="shared" si="49"/>
        <v>Noah Martin</v>
      </c>
      <c r="E429">
        <v>41</v>
      </c>
      <c r="F429" s="7">
        <f t="shared" si="50"/>
        <v>41</v>
      </c>
      <c r="G429" t="s">
        <v>102</v>
      </c>
      <c r="H429" s="7" t="str">
        <f t="shared" si="51"/>
        <v>Mexico</v>
      </c>
      <c r="I429" t="s">
        <v>471</v>
      </c>
      <c r="J429" s="7" t="str">
        <f>TEXT(
  IFERROR(
    DATEVALUE(SUBSTITUTE(SUBSTITUTE(TRIM(I429),"T"," "),"Z","")),
    IFERROR(
      DATE(
        RIGHT(TRIM(I429),4),
        MID(TRIM(I429),4,2),
        LEFT(TRIM(I429),2)
      ),
      DATE(
        VALUE(RIGHT(TRIM(I429),4)),
        MATCH(LEFT(TRIM(I429),FIND(" ",TRIM(I429))-1),
          {"January","February","March","April","May","June","July","August","September","October","November","December"},0),
        VALUE(MID(TRIM(I429),
          FIND(" ",TRIM(I429))+1,
          FIND(" ",TRIM(I429),FIND(" ",TRIM(I429))+1)-FIND(" ",TRIM(I429))-1))
      )
    )
  ),
"yyyy-mm-dd")</f>
        <v>2023-12-10</v>
      </c>
      <c r="K429" s="5" t="str">
        <f t="shared" si="52"/>
        <v>Dec</v>
      </c>
      <c r="L429">
        <v>1677029603</v>
      </c>
      <c r="M429" s="11">
        <f t="shared" si="53"/>
        <v>44979.064849537041</v>
      </c>
      <c r="N429">
        <v>27.29</v>
      </c>
      <c r="O429" s="7">
        <f t="shared" si="54"/>
        <v>27.29</v>
      </c>
      <c r="P429" t="s">
        <v>33</v>
      </c>
      <c r="Q429" s="7" t="str">
        <f t="shared" si="55"/>
        <v>Frequent buyer n</v>
      </c>
    </row>
    <row r="430" spans="1:17">
      <c r="A430">
        <v>2044</v>
      </c>
      <c r="B430" t="s">
        <v>74</v>
      </c>
      <c r="C430" s="9" t="str">
        <f t="shared" si="48"/>
        <v>Sofia Rossi</v>
      </c>
      <c r="D430" s="7" t="str">
        <f t="shared" si="49"/>
        <v>Sofia Rossi</v>
      </c>
      <c r="F430" s="7">
        <f t="shared" si="50"/>
        <v>43</v>
      </c>
      <c r="G430" t="s">
        <v>38</v>
      </c>
      <c r="H430" s="7" t="str">
        <f t="shared" si="51"/>
        <v>Spain</v>
      </c>
      <c r="I430" t="s">
        <v>472</v>
      </c>
      <c r="J430" s="7" t="str">
        <f>TEXT(
  IFERROR(
    DATEVALUE(SUBSTITUTE(SUBSTITUTE(TRIM(I430),"T"," "),"Z","")),
    IFERROR(
      DATE(
        RIGHT(TRIM(I430),4),
        MID(TRIM(I430),4,2),
        LEFT(TRIM(I430),2)
      ),
      DATE(
        VALUE(RIGHT(TRIM(I430),4)),
        MATCH(LEFT(TRIM(I430),FIND(" ",TRIM(I430))-1),
          {"January","February","March","April","May","June","July","August","September","October","November","December"},0),
        VALUE(MID(TRIM(I430),
          FIND(" ",TRIM(I430))+1,
          FIND(" ",TRIM(I430),FIND(" ",TRIM(I430))+1)-FIND(" ",TRIM(I430))-1))
      )
    )
  ),
"yyyy-mm-dd")</f>
        <v>2023-04-06</v>
      </c>
      <c r="K430" s="5" t="str">
        <f t="shared" si="52"/>
        <v>Apr</v>
      </c>
      <c r="L430">
        <v>1692810112</v>
      </c>
      <c r="M430" s="11">
        <f t="shared" si="53"/>
        <v>45161.709629629629</v>
      </c>
      <c r="O430" s="7">
        <f t="shared" si="54"/>
        <v>0</v>
      </c>
      <c r="P430" t="s">
        <v>40</v>
      </c>
      <c r="Q430" s="7" t="str">
        <f t="shared" si="55"/>
        <v xml:space="preserve">VIP client </v>
      </c>
    </row>
    <row r="431" spans="1:17">
      <c r="A431">
        <v>2028</v>
      </c>
      <c r="B431" t="s">
        <v>37</v>
      </c>
      <c r="C431" s="9" t="str">
        <f t="shared" si="48"/>
        <v>Akira Tanaka</v>
      </c>
      <c r="D431" s="7" t="str">
        <f t="shared" si="49"/>
        <v>Akira Tanaka</v>
      </c>
      <c r="F431" s="7">
        <f t="shared" si="50"/>
        <v>43</v>
      </c>
      <c r="G431" t="s">
        <v>29</v>
      </c>
      <c r="H431" s="7" t="str">
        <f t="shared" si="51"/>
        <v>United States</v>
      </c>
      <c r="I431" t="s">
        <v>473</v>
      </c>
      <c r="J431" s="7" t="str">
        <f>TEXT(
  IFERROR(
    DATEVALUE(SUBSTITUTE(SUBSTITUTE(TRIM(I431),"T"," "),"Z","")),
    IFERROR(
      DATE(
        RIGHT(TRIM(I431),4),
        MID(TRIM(I431),4,2),
        LEFT(TRIM(I431),2)
      ),
      DATE(
        VALUE(RIGHT(TRIM(I431),4)),
        MATCH(LEFT(TRIM(I431),FIND(" ",TRIM(I431))-1),
          {"January","February","March","April","May","June","July","August","September","October","November","December"},0),
        VALUE(MID(TRIM(I431),
          FIND(" ",TRIM(I431))+1,
          FIND(" ",TRIM(I431),FIND(" ",TRIM(I431))+1)-FIND(" ",TRIM(I431))-1))
      )
    )
  ),
"yyyy-mm-dd")</f>
        <v>2023-01-20</v>
      </c>
      <c r="K431" s="5" t="str">
        <f t="shared" si="52"/>
        <v>Jan</v>
      </c>
      <c r="L431">
        <v>1688739787</v>
      </c>
      <c r="M431" s="11">
        <f t="shared" si="53"/>
        <v>45114.599386574075</v>
      </c>
      <c r="N431">
        <v>1060.27</v>
      </c>
      <c r="O431" s="7">
        <f t="shared" si="54"/>
        <v>1060.27</v>
      </c>
      <c r="P431" t="s">
        <v>27</v>
      </c>
      <c r="Q431" s="7" t="str">
        <f t="shared" si="55"/>
        <v xml:space="preserve">Holiday signup </v>
      </c>
    </row>
    <row r="432" spans="1:17">
      <c r="A432">
        <v>1968</v>
      </c>
      <c r="B432" t="s">
        <v>185</v>
      </c>
      <c r="C432" s="9" t="str">
        <f t="shared" si="48"/>
        <v>Liam O’Connor</v>
      </c>
      <c r="D432" s="7" t="str">
        <f t="shared" si="49"/>
        <v>Liam O’Connor</v>
      </c>
      <c r="E432">
        <v>22</v>
      </c>
      <c r="F432" s="7">
        <f t="shared" si="50"/>
        <v>22</v>
      </c>
      <c r="G432" t="s">
        <v>62</v>
      </c>
      <c r="H432" s="7" t="str">
        <f t="shared" si="51"/>
        <v>Ireland</v>
      </c>
      <c r="I432" t="s">
        <v>474</v>
      </c>
      <c r="J432" s="7" t="str">
        <f>TEXT(
  IFERROR(
    DATEVALUE(SUBSTITUTE(SUBSTITUTE(TRIM(I432),"T"," "),"Z","")),
    IFERROR(
      DATE(
        RIGHT(TRIM(I432),4),
        MID(TRIM(I432),4,2),
        LEFT(TRIM(I432),2)
      ),
      DATE(
        VALUE(RIGHT(TRIM(I432),4)),
        MATCH(LEFT(TRIM(I432),FIND(" ",TRIM(I432))-1),
          {"January","February","March","April","May","June","July","August","September","October","November","December"},0),
        VALUE(MID(TRIM(I432),
          FIND(" ",TRIM(I432))+1,
          FIND(" ",TRIM(I432),FIND(" ",TRIM(I432))+1)-FIND(" ",TRIM(I432))-1))
      )
    )
  ),
"yyyy-mm-dd")</f>
        <v>2023-10-24</v>
      </c>
      <c r="K432" s="5" t="str">
        <f t="shared" si="52"/>
        <v>Oct</v>
      </c>
      <c r="L432">
        <v>1693094179</v>
      </c>
      <c r="M432" s="11">
        <f t="shared" si="53"/>
        <v>45164.997442129628</v>
      </c>
      <c r="O432" s="7">
        <f t="shared" si="54"/>
        <v>0</v>
      </c>
      <c r="P432" t="s">
        <v>46</v>
      </c>
      <c r="Q432" s="7" t="str">
        <f t="shared" si="55"/>
        <v>Corporate account</v>
      </c>
    </row>
    <row r="433" spans="1:17">
      <c r="A433">
        <v>1023</v>
      </c>
      <c r="B433" t="s">
        <v>131</v>
      </c>
      <c r="C433" s="9" t="str">
        <f t="shared" si="48"/>
        <v>Isabella Martinez</v>
      </c>
      <c r="D433" s="7" t="str">
        <f t="shared" si="49"/>
        <v>Isabella Martinez</v>
      </c>
      <c r="E433">
        <v>54</v>
      </c>
      <c r="F433" s="7">
        <f t="shared" si="50"/>
        <v>54</v>
      </c>
      <c r="G433" t="s">
        <v>25</v>
      </c>
      <c r="H433" s="7" t="str">
        <f t="shared" si="51"/>
        <v>Japan</v>
      </c>
      <c r="I433" t="s">
        <v>475</v>
      </c>
      <c r="J433" s="7" t="str">
        <f>TEXT(
  IFERROR(
    DATEVALUE(SUBSTITUTE(SUBSTITUTE(TRIM(I433),"T"," "),"Z","")),
    IFERROR(
      DATE(
        RIGHT(TRIM(I433),4),
        MID(TRIM(I433),4,2),
        LEFT(TRIM(I433),2)
      ),
      DATE(
        VALUE(RIGHT(TRIM(I433),4)),
        MATCH(LEFT(TRIM(I433),FIND(" ",TRIM(I433))-1),
          {"January","February","March","April","May","June","July","August","September","October","November","December"},0),
        VALUE(MID(TRIM(I433),
          FIND(" ",TRIM(I433))+1,
          FIND(" ",TRIM(I433),FIND(" ",TRIM(I433))+1)-FIND(" ",TRIM(I433))-1))
      )
    )
  ),
"yyyy-mm-dd")</f>
        <v>2023-04-08</v>
      </c>
      <c r="K433" s="5" t="str">
        <f t="shared" si="52"/>
        <v>Apr</v>
      </c>
      <c r="L433">
        <v>1699307926</v>
      </c>
      <c r="M433" s="11">
        <f t="shared" si="53"/>
        <v>45236.915810185186</v>
      </c>
      <c r="N433">
        <v>448.98</v>
      </c>
      <c r="O433" s="7">
        <f t="shared" si="54"/>
        <v>448.98</v>
      </c>
      <c r="P433" t="s">
        <v>20</v>
      </c>
      <c r="Q433" s="7" t="str">
        <f t="shared" si="55"/>
        <v xml:space="preserve">Great customer </v>
      </c>
    </row>
    <row r="434" spans="1:17">
      <c r="A434">
        <v>1623</v>
      </c>
      <c r="B434" t="s">
        <v>88</v>
      </c>
      <c r="C434" s="9" t="str">
        <f t="shared" si="48"/>
        <v>André Santos</v>
      </c>
      <c r="D434" s="7" t="str">
        <f t="shared" si="49"/>
        <v>André Santos</v>
      </c>
      <c r="E434">
        <v>21</v>
      </c>
      <c r="F434" s="7">
        <f t="shared" si="50"/>
        <v>21</v>
      </c>
      <c r="G434" t="s">
        <v>60</v>
      </c>
      <c r="H434" s="7" t="str">
        <f t="shared" si="51"/>
        <v>Egypt</v>
      </c>
      <c r="I434" t="s">
        <v>476</v>
      </c>
      <c r="J434" s="7" t="str">
        <f>TEXT(
  IFERROR(
    DATEVALUE(SUBSTITUTE(SUBSTITUTE(TRIM(I434),"T"," "),"Z","")),
    IFERROR(
      DATE(
        RIGHT(TRIM(I434),4),
        MID(TRIM(I434),4,2),
        LEFT(TRIM(I434),2)
      ),
      DATE(
        VALUE(RIGHT(TRIM(I434),4)),
        MATCH(LEFT(TRIM(I434),FIND(" ",TRIM(I434))-1),
          {"January","February","March","April","May","June","July","August","September","October","November","December"},0),
        VALUE(MID(TRIM(I434),
          FIND(" ",TRIM(I434))+1,
          FIND(" ",TRIM(I434),FIND(" ",TRIM(I434))+1)-FIND(" ",TRIM(I434))-1))
      )
    )
  ),
"yyyy-mm-dd")</f>
        <v>2023-10-24</v>
      </c>
      <c r="K434" s="5" t="str">
        <f t="shared" si="52"/>
        <v>Oct</v>
      </c>
      <c r="L434">
        <v>1691745991</v>
      </c>
      <c r="M434" s="11">
        <f t="shared" si="53"/>
        <v>45149.393414351856</v>
      </c>
      <c r="O434" s="7">
        <f t="shared" si="54"/>
        <v>0</v>
      </c>
      <c r="P434" t="s">
        <v>27</v>
      </c>
      <c r="Q434" s="7" t="str">
        <f t="shared" si="55"/>
        <v xml:space="preserve">Holiday signup </v>
      </c>
    </row>
    <row r="435" spans="1:17">
      <c r="A435">
        <v>1056</v>
      </c>
      <c r="B435" t="s">
        <v>107</v>
      </c>
      <c r="C435" s="9" t="str">
        <f t="shared" si="48"/>
        <v>Fatima Ali</v>
      </c>
      <c r="D435" s="7" t="str">
        <f t="shared" si="49"/>
        <v>Fatima Ali</v>
      </c>
      <c r="E435">
        <v>26</v>
      </c>
      <c r="F435" s="7">
        <f t="shared" si="50"/>
        <v>26</v>
      </c>
      <c r="G435" t="s">
        <v>54</v>
      </c>
      <c r="H435" s="7" t="str">
        <f t="shared" si="51"/>
        <v>Brazil</v>
      </c>
      <c r="I435" t="s">
        <v>477</v>
      </c>
      <c r="J435" s="7" t="str">
        <f>TEXT(
  IFERROR(
    DATEVALUE(SUBSTITUTE(SUBSTITUTE(TRIM(I435),"T"," "),"Z","")),
    IFERROR(
      DATE(
        RIGHT(TRIM(I435),4),
        MID(TRIM(I435),4,2),
        LEFT(TRIM(I435),2)
      ),
      DATE(
        VALUE(RIGHT(TRIM(I435),4)),
        MATCH(LEFT(TRIM(I435),FIND(" ",TRIM(I435))-1),
          {"January","February","March","April","May","June","July","August","September","October","November","December"},0),
        VALUE(MID(TRIM(I435),
          FIND(" ",TRIM(I435))+1,
          FIND(" ",TRIM(I435),FIND(" ",TRIM(I435))+1)-FIND(" ",TRIM(I435))-1))
      )
    )
  ),
"yyyy-mm-dd")</f>
        <v>2023-05-10</v>
      </c>
      <c r="K435" s="5" t="str">
        <f t="shared" si="52"/>
        <v>May</v>
      </c>
      <c r="L435">
        <v>1693186744</v>
      </c>
      <c r="M435" s="11">
        <f t="shared" si="53"/>
        <v>45166.068796296298</v>
      </c>
      <c r="O435" s="7">
        <f t="shared" si="54"/>
        <v>0</v>
      </c>
      <c r="P435" t="s">
        <v>20</v>
      </c>
      <c r="Q435" s="7" t="str">
        <f t="shared" si="55"/>
        <v xml:space="preserve">Great customer </v>
      </c>
    </row>
    <row r="436" spans="1:17">
      <c r="A436">
        <v>1976</v>
      </c>
      <c r="B436" t="s">
        <v>88</v>
      </c>
      <c r="C436" s="9" t="str">
        <f t="shared" si="48"/>
        <v>André Santos</v>
      </c>
      <c r="D436" s="7" t="str">
        <f t="shared" si="49"/>
        <v>André Santos</v>
      </c>
      <c r="F436" s="7">
        <f t="shared" si="50"/>
        <v>43</v>
      </c>
      <c r="G436" t="s">
        <v>116</v>
      </c>
      <c r="H436" s="7" t="str">
        <f t="shared" si="51"/>
        <v>China</v>
      </c>
      <c r="I436" t="s">
        <v>478</v>
      </c>
      <c r="J436" s="7" t="str">
        <f>TEXT(
  IFERROR(
    DATEVALUE(SUBSTITUTE(SUBSTITUTE(TRIM(I436),"T"," "),"Z","")),
    IFERROR(
      DATE(
        RIGHT(TRIM(I436),4),
        MID(TRIM(I436),4,2),
        LEFT(TRIM(I436),2)
      ),
      DATE(
        VALUE(RIGHT(TRIM(I436),4)),
        MATCH(LEFT(TRIM(I436),FIND(" ",TRIM(I436))-1),
          {"January","February","March","April","May","June","July","August","September","October","November","December"},0),
        VALUE(MID(TRIM(I436),
          FIND(" ",TRIM(I436))+1,
          FIND(" ",TRIM(I436),FIND(" ",TRIM(I436))+1)-FIND(" ",TRIM(I436))-1))
      )
    )
  ),
"yyyy-mm-dd")</f>
        <v>2023-08-31</v>
      </c>
      <c r="K436" s="5" t="str">
        <f t="shared" si="52"/>
        <v>Aug</v>
      </c>
      <c r="L436">
        <v>1677394420</v>
      </c>
      <c r="M436" s="11">
        <f t="shared" si="53"/>
        <v>44983.287268518514</v>
      </c>
      <c r="O436" s="7">
        <f t="shared" si="54"/>
        <v>0</v>
      </c>
      <c r="P436" t="s">
        <v>20</v>
      </c>
      <c r="Q436" s="7" t="str">
        <f t="shared" si="55"/>
        <v xml:space="preserve">Great customer </v>
      </c>
    </row>
    <row r="437" spans="1:17">
      <c r="A437">
        <v>1592</v>
      </c>
      <c r="B437" t="s">
        <v>210</v>
      </c>
      <c r="C437" s="9" t="str">
        <f t="shared" si="48"/>
        <v>Ethan Clark</v>
      </c>
      <c r="D437" s="7" t="str">
        <f t="shared" si="49"/>
        <v>Ethan Clark</v>
      </c>
      <c r="E437">
        <v>51</v>
      </c>
      <c r="F437" s="7">
        <f t="shared" si="50"/>
        <v>51</v>
      </c>
      <c r="G437" t="s">
        <v>29</v>
      </c>
      <c r="H437" s="7" t="str">
        <f t="shared" si="51"/>
        <v>United States</v>
      </c>
      <c r="I437" t="s">
        <v>479</v>
      </c>
      <c r="J437" s="7" t="str">
        <f>TEXT(
  IFERROR(
    DATEVALUE(SUBSTITUTE(SUBSTITUTE(TRIM(I437),"T"," "),"Z","")),
    IFERROR(
      DATE(
        RIGHT(TRIM(I437),4),
        MID(TRIM(I437),4,2),
        LEFT(TRIM(I437),2)
      ),
      DATE(
        VALUE(RIGHT(TRIM(I437),4)),
        MATCH(LEFT(TRIM(I437),FIND(" ",TRIM(I437))-1),
          {"January","February","March","April","May","June","July","August","September","October","November","December"},0),
        VALUE(MID(TRIM(I437),
          FIND(" ",TRIM(I437))+1,
          FIND(" ",TRIM(I437),FIND(" ",TRIM(I437))+1)-FIND(" ",TRIM(I437))-1))
      )
    )
  ),
"yyyy-mm-dd")</f>
        <v>2023-02-19</v>
      </c>
      <c r="K437" s="5" t="str">
        <f t="shared" si="52"/>
        <v>Feb</v>
      </c>
      <c r="L437">
        <v>1693912405</v>
      </c>
      <c r="M437" s="11">
        <f t="shared" si="53"/>
        <v>45174.467650462961</v>
      </c>
      <c r="O437" s="7">
        <f t="shared" si="54"/>
        <v>0</v>
      </c>
      <c r="P437" t="s">
        <v>27</v>
      </c>
      <c r="Q437" s="7" t="str">
        <f t="shared" si="55"/>
        <v xml:space="preserve">Holiday signup </v>
      </c>
    </row>
    <row r="438" spans="1:17">
      <c r="A438">
        <v>1692</v>
      </c>
      <c r="B438" t="s">
        <v>101</v>
      </c>
      <c r="C438" s="9" t="str">
        <f t="shared" si="48"/>
        <v>Zoë Kravitz</v>
      </c>
      <c r="D438" s="7" t="str">
        <f t="shared" si="49"/>
        <v>Zoë Kravitz</v>
      </c>
      <c r="E438">
        <v>38</v>
      </c>
      <c r="F438" s="7">
        <f t="shared" si="50"/>
        <v>38</v>
      </c>
      <c r="G438" t="s">
        <v>29</v>
      </c>
      <c r="H438" s="7" t="str">
        <f t="shared" si="51"/>
        <v>United States</v>
      </c>
      <c r="I438" t="s">
        <v>480</v>
      </c>
      <c r="J438" s="7" t="str">
        <f>TEXT(
  IFERROR(
    DATEVALUE(SUBSTITUTE(SUBSTITUTE(TRIM(I438),"T"," "),"Z","")),
    IFERROR(
      DATE(
        RIGHT(TRIM(I438),4),
        MID(TRIM(I438),4,2),
        LEFT(TRIM(I438),2)
      ),
      DATE(
        VALUE(RIGHT(TRIM(I438),4)),
        MATCH(LEFT(TRIM(I438),FIND(" ",TRIM(I438))-1),
          {"January","February","March","April","May","June","July","August","September","October","November","December"},0),
        VALUE(MID(TRIM(I438),
          FIND(" ",TRIM(I438))+1,
          FIND(" ",TRIM(I438),FIND(" ",TRIM(I438))+1)-FIND(" ",TRIM(I438))-1))
      )
    )
  ),
"yyyy-mm-dd")</f>
        <v>2023-12-11</v>
      </c>
      <c r="K438" s="5" t="str">
        <f t="shared" si="52"/>
        <v>Dec</v>
      </c>
      <c r="L438">
        <v>1700430868</v>
      </c>
      <c r="M438" s="11">
        <f t="shared" si="53"/>
        <v>45249.912824074076</v>
      </c>
      <c r="O438" s="7">
        <f t="shared" si="54"/>
        <v>0</v>
      </c>
      <c r="P438" t="s">
        <v>52</v>
      </c>
      <c r="Q438" s="7" t="str">
        <f t="shared" si="55"/>
        <v xml:space="preserve">Prefers email </v>
      </c>
    </row>
    <row r="439" spans="1:17">
      <c r="A439">
        <v>2076</v>
      </c>
      <c r="B439" t="s">
        <v>140</v>
      </c>
      <c r="C439" s="9" t="str">
        <f t="shared" si="48"/>
        <v>Anne Müller</v>
      </c>
      <c r="D439" s="7" t="str">
        <f t="shared" si="49"/>
        <v>Anne Müller</v>
      </c>
      <c r="E439">
        <v>32</v>
      </c>
      <c r="F439" s="7">
        <f t="shared" si="50"/>
        <v>32</v>
      </c>
      <c r="G439" t="s">
        <v>102</v>
      </c>
      <c r="H439" s="7" t="str">
        <f t="shared" si="51"/>
        <v>Mexico</v>
      </c>
      <c r="I439" t="s">
        <v>481</v>
      </c>
      <c r="J439" s="7" t="str">
        <f>TEXT(
  IFERROR(
    DATEVALUE(SUBSTITUTE(SUBSTITUTE(TRIM(I439),"T"," "),"Z","")),
    IFERROR(
      DATE(
        RIGHT(TRIM(I439),4),
        MID(TRIM(I439),4,2),
        LEFT(TRIM(I439),2)
      ),
      DATE(
        VALUE(RIGHT(TRIM(I439),4)),
        MATCH(LEFT(TRIM(I439),FIND(" ",TRIM(I439))-1),
          {"January","February","March","April","May","June","July","August","September","October","November","December"},0),
        VALUE(MID(TRIM(I439),
          FIND(" ",TRIM(I439))+1,
          FIND(" ",TRIM(I439),FIND(" ",TRIM(I439))+1)-FIND(" ",TRIM(I439))-1))
      )
    )
  ),
"yyyy-mm-dd")</f>
        <v>2023-05-09</v>
      </c>
      <c r="K439" s="5" t="str">
        <f t="shared" si="52"/>
        <v>May</v>
      </c>
      <c r="L439">
        <v>1673666252</v>
      </c>
      <c r="M439" s="11">
        <f t="shared" si="53"/>
        <v>44940.137175925927</v>
      </c>
      <c r="N439">
        <v>45.31</v>
      </c>
      <c r="O439" s="7">
        <f t="shared" si="54"/>
        <v>45.31</v>
      </c>
      <c r="P439" t="s">
        <v>20</v>
      </c>
      <c r="Q439" s="7" t="str">
        <f t="shared" si="55"/>
        <v xml:space="preserve">Great customer </v>
      </c>
    </row>
    <row r="440" spans="1:17">
      <c r="A440">
        <v>1445</v>
      </c>
      <c r="B440" t="s">
        <v>183</v>
      </c>
      <c r="C440" s="9" t="str">
        <f t="shared" si="48"/>
        <v>Mia Thompson</v>
      </c>
      <c r="D440" s="7" t="str">
        <f t="shared" si="49"/>
        <v>Mia Thompson</v>
      </c>
      <c r="E440">
        <v>63</v>
      </c>
      <c r="F440" s="7">
        <f t="shared" si="50"/>
        <v>63</v>
      </c>
      <c r="G440" t="s">
        <v>18</v>
      </c>
      <c r="H440" s="7" t="str">
        <f t="shared" si="51"/>
        <v>United Kingdom</v>
      </c>
      <c r="I440" t="s">
        <v>482</v>
      </c>
      <c r="J440" s="7" t="str">
        <f>TEXT(
  IFERROR(
    DATEVALUE(SUBSTITUTE(SUBSTITUTE(TRIM(I440),"T"," "),"Z","")),
    IFERROR(
      DATE(
        RIGHT(TRIM(I440),4),
        MID(TRIM(I440),4,2),
        LEFT(TRIM(I440),2)
      ),
      DATE(
        VALUE(RIGHT(TRIM(I440),4)),
        MATCH(LEFT(TRIM(I440),FIND(" ",TRIM(I440))-1),
          {"January","February","March","April","May","June","July","August","September","October","November","December"},0),
        VALUE(MID(TRIM(I440),
          FIND(" ",TRIM(I440))+1,
          FIND(" ",TRIM(I440),FIND(" ",TRIM(I440))+1)-FIND(" ",TRIM(I440))-1))
      )
    )
  ),
"yyyy-mm-dd")</f>
        <v>2023-07-12</v>
      </c>
      <c r="K440" s="5" t="str">
        <f t="shared" si="52"/>
        <v>Jul</v>
      </c>
      <c r="L440">
        <v>1699474921</v>
      </c>
      <c r="M440" s="11">
        <f t="shared" si="53"/>
        <v>45238.848622685182</v>
      </c>
      <c r="N440">
        <v>1451.08</v>
      </c>
      <c r="O440" s="7">
        <f t="shared" si="54"/>
        <v>1451.08</v>
      </c>
      <c r="P440" t="s">
        <v>33</v>
      </c>
      <c r="Q440" s="7" t="str">
        <f t="shared" si="55"/>
        <v>Frequent buyer n</v>
      </c>
    </row>
    <row r="441" spans="1:17">
      <c r="A441">
        <v>1519</v>
      </c>
      <c r="B441" t="s">
        <v>107</v>
      </c>
      <c r="C441" s="9" t="str">
        <f t="shared" si="48"/>
        <v>Fatima Ali</v>
      </c>
      <c r="D441" s="7" t="str">
        <f t="shared" si="49"/>
        <v>Fatima Ali</v>
      </c>
      <c r="F441" s="7">
        <f t="shared" si="50"/>
        <v>43</v>
      </c>
      <c r="G441" t="s">
        <v>54</v>
      </c>
      <c r="H441" s="7" t="str">
        <f t="shared" si="51"/>
        <v>Brazil</v>
      </c>
      <c r="I441" t="s">
        <v>483</v>
      </c>
      <c r="J441" s="7" t="str">
        <f>TEXT(
  IFERROR(
    DATEVALUE(SUBSTITUTE(SUBSTITUTE(TRIM(I441),"T"," "),"Z","")),
    IFERROR(
      DATE(
        RIGHT(TRIM(I441),4),
        MID(TRIM(I441),4,2),
        LEFT(TRIM(I441),2)
      ),
      DATE(
        VALUE(RIGHT(TRIM(I441),4)),
        MATCH(LEFT(TRIM(I441),FIND(" ",TRIM(I441))-1),
          {"January","February","March","April","May","June","July","August","September","October","November","December"},0),
        VALUE(MID(TRIM(I441),
          FIND(" ",TRIM(I441))+1,
          FIND(" ",TRIM(I441),FIND(" ",TRIM(I441))+1)-FIND(" ",TRIM(I441))-1))
      )
    )
  ),
"yyyy-mm-dd")</f>
        <v>2023-07-08</v>
      </c>
      <c r="K441" s="5" t="str">
        <f t="shared" si="52"/>
        <v>Jul</v>
      </c>
      <c r="L441">
        <v>1681158783</v>
      </c>
      <c r="M441" s="11">
        <f t="shared" si="53"/>
        <v>45026.85628472222</v>
      </c>
      <c r="N441">
        <v>251.33</v>
      </c>
      <c r="O441" s="7">
        <f t="shared" si="54"/>
        <v>251.33</v>
      </c>
      <c r="P441" t="s">
        <v>58</v>
      </c>
      <c r="Q441" s="7" t="str">
        <f t="shared" si="55"/>
        <v>Student account</v>
      </c>
    </row>
    <row r="442" spans="1:17">
      <c r="A442">
        <v>1128</v>
      </c>
      <c r="B442" t="s">
        <v>126</v>
      </c>
      <c r="C442" s="9" t="str">
        <f t="shared" si="48"/>
        <v>Noah Martin</v>
      </c>
      <c r="D442" s="7" t="str">
        <f t="shared" si="49"/>
        <v>Noah Martin</v>
      </c>
      <c r="F442" s="7">
        <f t="shared" si="50"/>
        <v>43</v>
      </c>
      <c r="G442" t="s">
        <v>48</v>
      </c>
      <c r="H442" s="7" t="str">
        <f t="shared" si="51"/>
        <v>France</v>
      </c>
      <c r="I442" t="s">
        <v>437</v>
      </c>
      <c r="J442" s="7" t="str">
        <f>TEXT(
  IFERROR(
    DATEVALUE(SUBSTITUTE(SUBSTITUTE(TRIM(I442),"T"," "),"Z","")),
    IFERROR(
      DATE(
        RIGHT(TRIM(I442),4),
        MID(TRIM(I442),4,2),
        LEFT(TRIM(I442),2)
      ),
      DATE(
        VALUE(RIGHT(TRIM(I442),4)),
        MATCH(LEFT(TRIM(I442),FIND(" ",TRIM(I442))-1),
          {"January","February","March","April","May","June","July","August","September","October","November","December"},0),
        VALUE(MID(TRIM(I442),
          FIND(" ",TRIM(I442))+1,
          FIND(" ",TRIM(I442),FIND(" ",TRIM(I442))+1)-FIND(" ",TRIM(I442))-1))
      )
    )
  ),
"yyyy-mm-dd")</f>
        <v>2023-08-14</v>
      </c>
      <c r="K442" s="5" t="str">
        <f t="shared" si="52"/>
        <v>Aug</v>
      </c>
      <c r="L442">
        <v>1689023445</v>
      </c>
      <c r="M442" s="11">
        <f t="shared" si="53"/>
        <v>45117.882465277777</v>
      </c>
      <c r="N442">
        <v>1469.34</v>
      </c>
      <c r="O442" s="7">
        <f t="shared" si="54"/>
        <v>1469.34</v>
      </c>
      <c r="P442" t="s">
        <v>27</v>
      </c>
      <c r="Q442" s="7" t="str">
        <f t="shared" si="55"/>
        <v xml:space="preserve">Holiday signup </v>
      </c>
    </row>
    <row r="443" spans="1:17">
      <c r="A443">
        <v>1805</v>
      </c>
      <c r="B443" t="s">
        <v>124</v>
      </c>
      <c r="C443" s="9" t="str">
        <f t="shared" si="48"/>
        <v>Sarah Johnson</v>
      </c>
      <c r="D443" s="7" t="str">
        <f t="shared" si="49"/>
        <v>Sarah Johnson</v>
      </c>
      <c r="E443">
        <v>27</v>
      </c>
      <c r="F443" s="7">
        <f t="shared" si="50"/>
        <v>27</v>
      </c>
      <c r="G443" t="s">
        <v>44</v>
      </c>
      <c r="H443" s="7" t="str">
        <f t="shared" si="51"/>
        <v>UAE</v>
      </c>
      <c r="I443" t="s">
        <v>484</v>
      </c>
      <c r="J443" s="7" t="str">
        <f>TEXT(
  IFERROR(
    DATEVALUE(SUBSTITUTE(SUBSTITUTE(TRIM(I443),"T"," "),"Z","")),
    IFERROR(
      DATE(
        RIGHT(TRIM(I443),4),
        MID(TRIM(I443),4,2),
        LEFT(TRIM(I443),2)
      ),
      DATE(
        VALUE(RIGHT(TRIM(I443),4)),
        MATCH(LEFT(TRIM(I443),FIND(" ",TRIM(I443))-1),
          {"January","February","March","April","May","June","July","August","September","October","November","December"},0),
        VALUE(MID(TRIM(I443),
          FIND(" ",TRIM(I443))+1,
          FIND(" ",TRIM(I443),FIND(" ",TRIM(I443))+1)-FIND(" ",TRIM(I443))-1))
      )
    )
  ),
"yyyy-mm-dd")</f>
        <v>2023-04-22</v>
      </c>
      <c r="K443" s="5" t="str">
        <f t="shared" si="52"/>
        <v>Apr</v>
      </c>
      <c r="L443">
        <v>1694110846</v>
      </c>
      <c r="M443" s="11">
        <f t="shared" si="53"/>
        <v>45176.764421296291</v>
      </c>
      <c r="O443" s="7">
        <f t="shared" si="54"/>
        <v>0</v>
      </c>
      <c r="P443" t="s">
        <v>58</v>
      </c>
      <c r="Q443" s="7" t="str">
        <f t="shared" si="55"/>
        <v>Student account</v>
      </c>
    </row>
    <row r="444" spans="1:17">
      <c r="A444">
        <v>1212</v>
      </c>
      <c r="B444" t="s">
        <v>59</v>
      </c>
      <c r="C444" s="9" t="str">
        <f t="shared" si="48"/>
        <v>Maria Lopez</v>
      </c>
      <c r="D444" s="7" t="str">
        <f t="shared" si="49"/>
        <v xml:space="preserve"> Maria Lopez </v>
      </c>
      <c r="F444" s="7">
        <f t="shared" si="50"/>
        <v>43</v>
      </c>
      <c r="G444" t="s">
        <v>111</v>
      </c>
      <c r="H444" s="7" t="str">
        <f t="shared" si="51"/>
        <v>South Korea</v>
      </c>
      <c r="I444" t="s">
        <v>485</v>
      </c>
      <c r="J444" s="7" t="str">
        <f>TEXT(
  IFERROR(
    DATEVALUE(SUBSTITUTE(SUBSTITUTE(TRIM(I444),"T"," "),"Z","")),
    IFERROR(
      DATE(
        RIGHT(TRIM(I444),4),
        MID(TRIM(I444),4,2),
        LEFT(TRIM(I444),2)
      ),
      DATE(
        VALUE(RIGHT(TRIM(I444),4)),
        MATCH(LEFT(TRIM(I444),FIND(" ",TRIM(I444))-1),
          {"January","February","March","April","May","June","July","August","September","October","November","December"},0),
        VALUE(MID(TRIM(I444),
          FIND(" ",TRIM(I444))+1,
          FIND(" ",TRIM(I444),FIND(" ",TRIM(I444))+1)-FIND(" ",TRIM(I444))-1))
      )
    )
  ),
"yyyy-mm-dd")</f>
        <v>2023-01-10</v>
      </c>
      <c r="K444" s="5" t="str">
        <f t="shared" si="52"/>
        <v>Jan</v>
      </c>
      <c r="L444">
        <v>1677518720</v>
      </c>
      <c r="M444" s="11">
        <f t="shared" si="53"/>
        <v>44984.72592592593</v>
      </c>
      <c r="N444">
        <v>982.77</v>
      </c>
      <c r="O444" s="7">
        <f t="shared" si="54"/>
        <v>982.77</v>
      </c>
      <c r="P444" t="s">
        <v>20</v>
      </c>
      <c r="Q444" s="7" t="str">
        <f t="shared" si="55"/>
        <v xml:space="preserve">Great customer </v>
      </c>
    </row>
    <row r="445" spans="1:17">
      <c r="A445">
        <v>1800</v>
      </c>
      <c r="B445" t="s">
        <v>85</v>
      </c>
      <c r="C445" s="9" t="str">
        <f t="shared" si="48"/>
        <v>Akira Tanaka</v>
      </c>
      <c r="D445" s="7" t="str">
        <f t="shared" si="49"/>
        <v xml:space="preserve"> Akira Tanaka </v>
      </c>
      <c r="E445">
        <v>43</v>
      </c>
      <c r="F445" s="7">
        <f t="shared" si="50"/>
        <v>43</v>
      </c>
      <c r="G445" t="s">
        <v>29</v>
      </c>
      <c r="H445" s="7" t="str">
        <f t="shared" si="51"/>
        <v>United States</v>
      </c>
      <c r="I445" t="s">
        <v>486</v>
      </c>
      <c r="J445" s="7" t="str">
        <f>TEXT(
  IFERROR(
    DATEVALUE(SUBSTITUTE(SUBSTITUTE(TRIM(I445),"T"," "),"Z","")),
    IFERROR(
      DATE(
        RIGHT(TRIM(I445),4),
        MID(TRIM(I445),4,2),
        LEFT(TRIM(I445),2)
      ),
      DATE(
        VALUE(RIGHT(TRIM(I445),4)),
        MATCH(LEFT(TRIM(I445),FIND(" ",TRIM(I445))-1),
          {"January","February","March","April","May","June","July","August","September","October","November","December"},0),
        VALUE(MID(TRIM(I445),
          FIND(" ",TRIM(I445))+1,
          FIND(" ",TRIM(I445),FIND(" ",TRIM(I445))+1)-FIND(" ",TRIM(I445))-1))
      )
    )
  ),
"yyyy-mm-dd")</f>
        <v>2023-09-21</v>
      </c>
      <c r="K445" s="5" t="str">
        <f t="shared" si="52"/>
        <v>Sep</v>
      </c>
      <c r="L445">
        <v>1688567696</v>
      </c>
      <c r="M445" s="11">
        <f t="shared" si="53"/>
        <v>45112.607592592598</v>
      </c>
      <c r="N445">
        <v>659.73</v>
      </c>
      <c r="O445" s="7">
        <f t="shared" si="54"/>
        <v>659.73</v>
      </c>
      <c r="P445" t="s">
        <v>46</v>
      </c>
      <c r="Q445" s="7" t="str">
        <f t="shared" si="55"/>
        <v>Corporate account</v>
      </c>
    </row>
    <row r="446" spans="1:17">
      <c r="A446">
        <v>1463</v>
      </c>
      <c r="B446" t="s">
        <v>17</v>
      </c>
      <c r="C446" s="9" t="str">
        <f t="shared" si="48"/>
        <v>John Smith</v>
      </c>
      <c r="D446" s="7" t="str">
        <f t="shared" si="49"/>
        <v>John Smith</v>
      </c>
      <c r="E446">
        <v>62</v>
      </c>
      <c r="F446" s="7">
        <f t="shared" si="50"/>
        <v>62</v>
      </c>
      <c r="G446" t="s">
        <v>62</v>
      </c>
      <c r="H446" s="7" t="str">
        <f t="shared" si="51"/>
        <v>Ireland</v>
      </c>
      <c r="I446" t="s">
        <v>389</v>
      </c>
      <c r="J446" s="7" t="str">
        <f>TEXT(
  IFERROR(
    DATEVALUE(SUBSTITUTE(SUBSTITUTE(TRIM(I446),"T"," "),"Z","")),
    IFERROR(
      DATE(
        RIGHT(TRIM(I446),4),
        MID(TRIM(I446),4,2),
        LEFT(TRIM(I446),2)
      ),
      DATE(
        VALUE(RIGHT(TRIM(I446),4)),
        MATCH(LEFT(TRIM(I446),FIND(" ",TRIM(I446))-1),
          {"January","February","March","April","May","June","July","August","September","October","November","December"},0),
        VALUE(MID(TRIM(I446),
          FIND(" ",TRIM(I446))+1,
          FIND(" ",TRIM(I446),FIND(" ",TRIM(I446))+1)-FIND(" ",TRIM(I446))-1))
      )
    )
  ),
"yyyy-mm-dd")</f>
        <v>2023-03-07</v>
      </c>
      <c r="K446" s="5" t="str">
        <f t="shared" si="52"/>
        <v>Mar</v>
      </c>
      <c r="L446">
        <v>1695402610</v>
      </c>
      <c r="M446" s="11">
        <f t="shared" si="53"/>
        <v>45191.71539351852</v>
      </c>
      <c r="N446">
        <v>461.21</v>
      </c>
      <c r="O446" s="7">
        <f t="shared" si="54"/>
        <v>461.21</v>
      </c>
      <c r="P446" t="s">
        <v>52</v>
      </c>
      <c r="Q446" s="7" t="str">
        <f t="shared" si="55"/>
        <v xml:space="preserve">Prefers email </v>
      </c>
    </row>
    <row r="447" spans="1:17">
      <c r="A447">
        <v>1613</v>
      </c>
      <c r="B447" t="s">
        <v>24</v>
      </c>
      <c r="C447" s="9" t="str">
        <f t="shared" si="48"/>
        <v>Renée Dupont</v>
      </c>
      <c r="D447" s="7" t="str">
        <f t="shared" si="49"/>
        <v>Renée Dupont</v>
      </c>
      <c r="E447">
        <v>58</v>
      </c>
      <c r="F447" s="7">
        <f t="shared" si="50"/>
        <v>58</v>
      </c>
      <c r="G447" t="s">
        <v>122</v>
      </c>
      <c r="H447" s="7" t="str">
        <f t="shared" si="51"/>
        <v>Italy</v>
      </c>
      <c r="I447" t="s">
        <v>467</v>
      </c>
      <c r="J447" s="7" t="str">
        <f>TEXT(
  IFERROR(
    DATEVALUE(SUBSTITUTE(SUBSTITUTE(TRIM(I447),"T"," "),"Z","")),
    IFERROR(
      DATE(
        RIGHT(TRIM(I447),4),
        MID(TRIM(I447),4,2),
        LEFT(TRIM(I447),2)
      ),
      DATE(
        VALUE(RIGHT(TRIM(I447),4)),
        MATCH(LEFT(TRIM(I447),FIND(" ",TRIM(I447))-1),
          {"January","February","March","April","May","June","July","August","September","October","November","December"},0),
        VALUE(MID(TRIM(I447),
          FIND(" ",TRIM(I447))+1,
          FIND(" ",TRIM(I447),FIND(" ",TRIM(I447))+1)-FIND(" ",TRIM(I447))-1))
      )
    )
  ),
"yyyy-mm-dd")</f>
        <v>2023-09-07</v>
      </c>
      <c r="K447" s="5" t="str">
        <f t="shared" si="52"/>
        <v>Sep</v>
      </c>
      <c r="L447">
        <v>1702226858</v>
      </c>
      <c r="M447" s="11">
        <f t="shared" si="53"/>
        <v>45270.699745370366</v>
      </c>
      <c r="N447">
        <v>952.86</v>
      </c>
      <c r="O447" s="7">
        <f t="shared" si="54"/>
        <v>952.86</v>
      </c>
      <c r="P447" t="s">
        <v>33</v>
      </c>
      <c r="Q447" s="7" t="str">
        <f t="shared" si="55"/>
        <v>Frequent buyer n</v>
      </c>
    </row>
    <row r="448" spans="1:17">
      <c r="A448">
        <v>1478</v>
      </c>
      <c r="B448" t="s">
        <v>146</v>
      </c>
      <c r="C448" s="9" t="str">
        <f t="shared" si="48"/>
        <v>Li Wei</v>
      </c>
      <c r="D448" s="7" t="str">
        <f t="shared" si="49"/>
        <v xml:space="preserve"> Li Wei </v>
      </c>
      <c r="E448">
        <v>49</v>
      </c>
      <c r="F448" s="7">
        <f t="shared" si="50"/>
        <v>49</v>
      </c>
      <c r="G448" t="s">
        <v>29</v>
      </c>
      <c r="H448" s="7" t="str">
        <f t="shared" si="51"/>
        <v>United States</v>
      </c>
      <c r="I448" t="s">
        <v>258</v>
      </c>
      <c r="J448" s="7" t="str">
        <f>TEXT(
  IFERROR(
    DATEVALUE(SUBSTITUTE(SUBSTITUTE(TRIM(I448),"T"," "),"Z","")),
    IFERROR(
      DATE(
        RIGHT(TRIM(I448),4),
        MID(TRIM(I448),4,2),
        LEFT(TRIM(I448),2)
      ),
      DATE(
        VALUE(RIGHT(TRIM(I448),4)),
        MATCH(LEFT(TRIM(I448),FIND(" ",TRIM(I448))-1),
          {"January","February","March","April","May","June","July","August","September","October","November","December"},0),
        VALUE(MID(TRIM(I448),
          FIND(" ",TRIM(I448))+1,
          FIND(" ",TRIM(I448),FIND(" ",TRIM(I448))+1)-FIND(" ",TRIM(I448))-1))
      )
    )
  ),
"yyyy-mm-dd")</f>
        <v>2023-08-30</v>
      </c>
      <c r="K448" s="5" t="str">
        <f t="shared" si="52"/>
        <v>Aug</v>
      </c>
      <c r="L448">
        <v>1674060849</v>
      </c>
      <c r="M448" s="11">
        <f t="shared" si="53"/>
        <v>44944.704270833332</v>
      </c>
      <c r="N448">
        <v>371.6</v>
      </c>
      <c r="O448" s="7">
        <f t="shared" si="54"/>
        <v>371.6</v>
      </c>
      <c r="P448" t="s">
        <v>20</v>
      </c>
      <c r="Q448" s="7" t="str">
        <f t="shared" si="55"/>
        <v xml:space="preserve">Great customer </v>
      </c>
    </row>
    <row r="449" spans="1:17">
      <c r="A449">
        <v>1452</v>
      </c>
      <c r="B449" t="s">
        <v>47</v>
      </c>
      <c r="C449" s="9" t="str">
        <f t="shared" si="48"/>
        <v>Li Wei</v>
      </c>
      <c r="D449" s="7" t="str">
        <f t="shared" si="49"/>
        <v>Li Wei</v>
      </c>
      <c r="E449">
        <v>39</v>
      </c>
      <c r="F449" s="7">
        <f t="shared" si="50"/>
        <v>39</v>
      </c>
      <c r="G449" t="s">
        <v>116</v>
      </c>
      <c r="H449" s="7" t="str">
        <f t="shared" si="51"/>
        <v>China</v>
      </c>
      <c r="I449" t="s">
        <v>425</v>
      </c>
      <c r="J449" s="7" t="str">
        <f>TEXT(
  IFERROR(
    DATEVALUE(SUBSTITUTE(SUBSTITUTE(TRIM(I449),"T"," "),"Z","")),
    IFERROR(
      DATE(
        RIGHT(TRIM(I449),4),
        MID(TRIM(I449),4,2),
        LEFT(TRIM(I449),2)
      ),
      DATE(
        VALUE(RIGHT(TRIM(I449),4)),
        MATCH(LEFT(TRIM(I449),FIND(" ",TRIM(I449))-1),
          {"January","February","March","April","May","June","July","August","September","October","November","December"},0),
        VALUE(MID(TRIM(I449),
          FIND(" ",TRIM(I449))+1,
          FIND(" ",TRIM(I449),FIND(" ",TRIM(I449))+1)-FIND(" ",TRIM(I449))-1))
      )
    )
  ),
"yyyy-mm-dd")</f>
        <v>2023-06-16</v>
      </c>
      <c r="K449" s="5" t="str">
        <f t="shared" si="52"/>
        <v>Jun</v>
      </c>
      <c r="L449">
        <v>1695478197</v>
      </c>
      <c r="M449" s="11">
        <f t="shared" si="53"/>
        <v>45192.590243055558</v>
      </c>
      <c r="N449">
        <v>868.19</v>
      </c>
      <c r="O449" s="7">
        <f t="shared" si="54"/>
        <v>868.19</v>
      </c>
      <c r="P449" t="s">
        <v>84</v>
      </c>
      <c r="Q449" s="7" t="str">
        <f t="shared" si="55"/>
        <v xml:space="preserve">Newsletter subscriber </v>
      </c>
    </row>
    <row r="450" spans="1:17">
      <c r="A450">
        <v>1437</v>
      </c>
      <c r="B450" t="s">
        <v>97</v>
      </c>
      <c r="C450" s="9" t="str">
        <f t="shared" si="48"/>
        <v>Björn Larsson</v>
      </c>
      <c r="D450" s="7" t="str">
        <f t="shared" si="49"/>
        <v xml:space="preserve"> Björn Larsson </v>
      </c>
      <c r="E450">
        <v>29</v>
      </c>
      <c r="F450" s="7">
        <f t="shared" si="50"/>
        <v>29</v>
      </c>
      <c r="G450" t="s">
        <v>18</v>
      </c>
      <c r="H450" s="7" t="str">
        <f t="shared" si="51"/>
        <v>United Kingdom</v>
      </c>
      <c r="I450" t="s">
        <v>487</v>
      </c>
      <c r="J450" s="7" t="str">
        <f>TEXT(
  IFERROR(
    DATEVALUE(SUBSTITUTE(SUBSTITUTE(TRIM(I450),"T"," "),"Z","")),
    IFERROR(
      DATE(
        RIGHT(TRIM(I450),4),
        MID(TRIM(I450),4,2),
        LEFT(TRIM(I450),2)
      ),
      DATE(
        VALUE(RIGHT(TRIM(I450),4)),
        MATCH(LEFT(TRIM(I450),FIND(" ",TRIM(I450))-1),
          {"January","February","March","April","May","June","July","August","September","October","November","December"},0),
        VALUE(MID(TRIM(I450),
          FIND(" ",TRIM(I450))+1,
          FIND(" ",TRIM(I450),FIND(" ",TRIM(I450))+1)-FIND(" ",TRIM(I450))-1))
      )
    )
  ),
"yyyy-mm-dd")</f>
        <v>2023-05-21</v>
      </c>
      <c r="K450" s="5" t="str">
        <f t="shared" si="52"/>
        <v>May</v>
      </c>
      <c r="L450">
        <v>1697943162</v>
      </c>
      <c r="M450" s="11">
        <f t="shared" si="53"/>
        <v>45221.119930555556</v>
      </c>
      <c r="O450" s="7">
        <f t="shared" si="54"/>
        <v>0</v>
      </c>
      <c r="P450" t="s">
        <v>46</v>
      </c>
      <c r="Q450" s="7" t="str">
        <f t="shared" si="55"/>
        <v>Corporate account</v>
      </c>
    </row>
    <row r="451" spans="1:17">
      <c r="A451">
        <v>1338</v>
      </c>
      <c r="B451" t="s">
        <v>64</v>
      </c>
      <c r="C451" s="9" t="str">
        <f t="shared" ref="C451:C514" si="56">TRIM(B451)</f>
        <v>Ethan Clark</v>
      </c>
      <c r="D451" s="7" t="str">
        <f t="shared" ref="D451:D514" si="57">PROPER(B451)</f>
        <v xml:space="preserve"> Ethan Clark </v>
      </c>
      <c r="E451">
        <v>55</v>
      </c>
      <c r="F451" s="7">
        <f t="shared" ref="F451:F514" si="58">IF(OR(E451="", ISBLANK(E451)), MEDIAN($E$2:$E$1501), E451)</f>
        <v>55</v>
      </c>
      <c r="G451" t="s">
        <v>18</v>
      </c>
      <c r="H451" s="7" t="str">
        <f t="shared" ref="H451:H514" si="59">TRIM(G451)</f>
        <v>United Kingdom</v>
      </c>
      <c r="I451" t="s">
        <v>488</v>
      </c>
      <c r="J451" s="7" t="str">
        <f>TEXT(
  IFERROR(
    DATEVALUE(SUBSTITUTE(SUBSTITUTE(TRIM(I451),"T"," "),"Z","")),
    IFERROR(
      DATE(
        RIGHT(TRIM(I451),4),
        MID(TRIM(I451),4,2),
        LEFT(TRIM(I451),2)
      ),
      DATE(
        VALUE(RIGHT(TRIM(I451),4)),
        MATCH(LEFT(TRIM(I451),FIND(" ",TRIM(I451))-1),
          {"January","February","March","April","May","June","July","August","September","October","November","December"},0),
        VALUE(MID(TRIM(I451),
          FIND(" ",TRIM(I451))+1,
          FIND(" ",TRIM(I451),FIND(" ",TRIM(I451))+1)-FIND(" ",TRIM(I451))-1))
      )
    )
  ),
"yyyy-mm-dd")</f>
        <v>2023-11-20</v>
      </c>
      <c r="K451" s="5" t="str">
        <f t="shared" ref="K451:K514" si="60">TEXT(J451,"mmm")</f>
        <v>Nov</v>
      </c>
      <c r="L451">
        <v>1685144863</v>
      </c>
      <c r="M451" s="11">
        <f t="shared" ref="M451:M514" si="61">((L451)/86400)+DATE(1970,1,1)</f>
        <v>45072.991469907407</v>
      </c>
      <c r="N451">
        <v>1168.72</v>
      </c>
      <c r="O451" s="7">
        <f t="shared" ref="O451:O514" si="62">IF(N451="", 0, N451)</f>
        <v>1168.72</v>
      </c>
      <c r="P451" t="s">
        <v>36</v>
      </c>
      <c r="Q451" s="7" t="str">
        <f t="shared" ref="Q451:Q514" si="63">SUBSTITUTE(SUBSTITUTE(SUBSTITUTE(P451,"$",""),"%",""),"ñ","n")</f>
        <v>Regular shopper</v>
      </c>
    </row>
    <row r="452" spans="1:17">
      <c r="A452">
        <v>1166</v>
      </c>
      <c r="B452" t="s">
        <v>94</v>
      </c>
      <c r="C452" s="9" t="str">
        <f t="shared" si="56"/>
        <v>John Smith</v>
      </c>
      <c r="D452" s="7" t="str">
        <f t="shared" si="57"/>
        <v xml:space="preserve"> John Smith </v>
      </c>
      <c r="E452">
        <v>63</v>
      </c>
      <c r="F452" s="7">
        <f t="shared" si="58"/>
        <v>63</v>
      </c>
      <c r="G452" t="s">
        <v>102</v>
      </c>
      <c r="H452" s="7" t="str">
        <f t="shared" si="59"/>
        <v>Mexico</v>
      </c>
      <c r="I452" t="s">
        <v>489</v>
      </c>
      <c r="J452" s="7" t="str">
        <f>TEXT(
  IFERROR(
    DATEVALUE(SUBSTITUTE(SUBSTITUTE(TRIM(I452),"T"," "),"Z","")),
    IFERROR(
      DATE(
        RIGHT(TRIM(I452),4),
        MID(TRIM(I452),4,2),
        LEFT(TRIM(I452),2)
      ),
      DATE(
        VALUE(RIGHT(TRIM(I452),4)),
        MATCH(LEFT(TRIM(I452),FIND(" ",TRIM(I452))-1),
          {"January","February","March","April","May","June","July","August","September","October","November","December"},0),
        VALUE(MID(TRIM(I452),
          FIND(" ",TRIM(I452))+1,
          FIND(" ",TRIM(I452),FIND(" ",TRIM(I452))+1)-FIND(" ",TRIM(I452))-1))
      )
    )
  ),
"yyyy-mm-dd")</f>
        <v>2023-08-02</v>
      </c>
      <c r="K452" s="5" t="str">
        <f t="shared" si="60"/>
        <v>Aug</v>
      </c>
      <c r="L452">
        <v>1695755690</v>
      </c>
      <c r="M452" s="11">
        <f t="shared" si="61"/>
        <v>45195.80196759259</v>
      </c>
      <c r="N452">
        <v>199.07</v>
      </c>
      <c r="O452" s="7">
        <f t="shared" si="62"/>
        <v>199.07</v>
      </c>
      <c r="P452" t="s">
        <v>58</v>
      </c>
      <c r="Q452" s="7" t="str">
        <f t="shared" si="63"/>
        <v>Student account</v>
      </c>
    </row>
    <row r="453" spans="1:17">
      <c r="A453">
        <v>1713</v>
      </c>
      <c r="B453" t="s">
        <v>53</v>
      </c>
      <c r="C453" s="9" t="str">
        <f t="shared" si="56"/>
        <v>Sofia Rossi</v>
      </c>
      <c r="D453" s="7" t="str">
        <f t="shared" si="57"/>
        <v xml:space="preserve"> Sofia Rossi </v>
      </c>
      <c r="E453">
        <v>33</v>
      </c>
      <c r="F453" s="7">
        <f t="shared" si="58"/>
        <v>33</v>
      </c>
      <c r="G453" t="s">
        <v>67</v>
      </c>
      <c r="H453" s="7" t="str">
        <f t="shared" si="59"/>
        <v>Sweden</v>
      </c>
      <c r="I453" t="s">
        <v>490</v>
      </c>
      <c r="J453" s="7" t="str">
        <f>TEXT(
  IFERROR(
    DATEVALUE(SUBSTITUTE(SUBSTITUTE(TRIM(I453),"T"," "),"Z","")),
    IFERROR(
      DATE(
        RIGHT(TRIM(I453),4),
        MID(TRIM(I453),4,2),
        LEFT(TRIM(I453),2)
      ),
      DATE(
        VALUE(RIGHT(TRIM(I453),4)),
        MATCH(LEFT(TRIM(I453),FIND(" ",TRIM(I453))-1),
          {"January","February","March","April","May","June","July","August","September","October","November","December"},0),
        VALUE(MID(TRIM(I453),
          FIND(" ",TRIM(I453))+1,
          FIND(" ",TRIM(I453),FIND(" ",TRIM(I453))+1)-FIND(" ",TRIM(I453))-1))
      )
    )
  ),
"yyyy-mm-dd")</f>
        <v>2023-02-18</v>
      </c>
      <c r="K453" s="5" t="str">
        <f t="shared" si="60"/>
        <v>Feb</v>
      </c>
      <c r="L453">
        <v>1684667392</v>
      </c>
      <c r="M453" s="11">
        <f t="shared" si="61"/>
        <v>45067.465185185181</v>
      </c>
      <c r="N453">
        <v>1295.47</v>
      </c>
      <c r="O453" s="7">
        <f t="shared" si="62"/>
        <v>1295.47</v>
      </c>
      <c r="P453" t="s">
        <v>36</v>
      </c>
      <c r="Q453" s="7" t="str">
        <f t="shared" si="63"/>
        <v>Regular shopper</v>
      </c>
    </row>
    <row r="454" spans="1:17">
      <c r="A454">
        <v>1746</v>
      </c>
      <c r="B454" t="s">
        <v>240</v>
      </c>
      <c r="C454" s="9" t="str">
        <f t="shared" si="56"/>
        <v>Fatima Ali</v>
      </c>
      <c r="D454" s="7" t="str">
        <f t="shared" si="57"/>
        <v xml:space="preserve"> Fatima Ali </v>
      </c>
      <c r="E454">
        <v>39</v>
      </c>
      <c r="F454" s="7">
        <f t="shared" si="58"/>
        <v>39</v>
      </c>
      <c r="G454" t="s">
        <v>111</v>
      </c>
      <c r="H454" s="7" t="str">
        <f t="shared" si="59"/>
        <v>South Korea</v>
      </c>
      <c r="I454" t="s">
        <v>491</v>
      </c>
      <c r="J454" s="7" t="str">
        <f>TEXT(
  IFERROR(
    DATEVALUE(SUBSTITUTE(SUBSTITUTE(TRIM(I454),"T"," "),"Z","")),
    IFERROR(
      DATE(
        RIGHT(TRIM(I454),4),
        MID(TRIM(I454),4,2),
        LEFT(TRIM(I454),2)
      ),
      DATE(
        VALUE(RIGHT(TRIM(I454),4)),
        MATCH(LEFT(TRIM(I454),FIND(" ",TRIM(I454))-1),
          {"January","February","March","April","May","June","July","August","September","October","November","December"},0),
        VALUE(MID(TRIM(I454),
          FIND(" ",TRIM(I454))+1,
          FIND(" ",TRIM(I454),FIND(" ",TRIM(I454))+1)-FIND(" ",TRIM(I454))-1))
      )
    )
  ),
"yyyy-mm-dd")</f>
        <v>2023-01-23</v>
      </c>
      <c r="K454" s="5" t="str">
        <f t="shared" si="60"/>
        <v>Jan</v>
      </c>
      <c r="L454">
        <v>1697368268</v>
      </c>
      <c r="M454" s="11">
        <f t="shared" si="61"/>
        <v>45214.466064814813</v>
      </c>
      <c r="N454">
        <v>88.16</v>
      </c>
      <c r="O454" s="7">
        <f t="shared" si="62"/>
        <v>88.16</v>
      </c>
      <c r="P454" t="s">
        <v>33</v>
      </c>
      <c r="Q454" s="7" t="str">
        <f t="shared" si="63"/>
        <v>Frequent buyer n</v>
      </c>
    </row>
    <row r="455" spans="1:17">
      <c r="A455">
        <v>1060</v>
      </c>
      <c r="B455" t="s">
        <v>131</v>
      </c>
      <c r="C455" s="9" t="str">
        <f t="shared" si="56"/>
        <v>Isabella Martinez</v>
      </c>
      <c r="D455" s="7" t="str">
        <f t="shared" si="57"/>
        <v>Isabella Martinez</v>
      </c>
      <c r="E455">
        <v>33</v>
      </c>
      <c r="F455" s="7">
        <f t="shared" si="58"/>
        <v>33</v>
      </c>
      <c r="G455" t="s">
        <v>111</v>
      </c>
      <c r="H455" s="7" t="str">
        <f t="shared" si="59"/>
        <v>South Korea</v>
      </c>
      <c r="I455" t="s">
        <v>285</v>
      </c>
      <c r="J455" s="7" t="str">
        <f>TEXT(
  IFERROR(
    DATEVALUE(SUBSTITUTE(SUBSTITUTE(TRIM(I455),"T"," "),"Z","")),
    IFERROR(
      DATE(
        RIGHT(TRIM(I455),4),
        MID(TRIM(I455),4,2),
        LEFT(TRIM(I455),2)
      ),
      DATE(
        VALUE(RIGHT(TRIM(I455),4)),
        MATCH(LEFT(TRIM(I455),FIND(" ",TRIM(I455))-1),
          {"January","February","March","April","May","June","July","August","September","October","November","December"},0),
        VALUE(MID(TRIM(I455),
          FIND(" ",TRIM(I455))+1,
          FIND(" ",TRIM(I455),FIND(" ",TRIM(I455))+1)-FIND(" ",TRIM(I455))-1))
      )
    )
  ),
"yyyy-mm-dd")</f>
        <v>2023-10-31</v>
      </c>
      <c r="K455" s="5" t="str">
        <f t="shared" si="60"/>
        <v>Oct</v>
      </c>
      <c r="L455">
        <v>1683461815</v>
      </c>
      <c r="M455" s="11">
        <f t="shared" si="61"/>
        <v>45053.511747685188</v>
      </c>
      <c r="O455" s="7">
        <f t="shared" si="62"/>
        <v>0</v>
      </c>
      <c r="P455" t="s">
        <v>40</v>
      </c>
      <c r="Q455" s="7" t="str">
        <f t="shared" si="63"/>
        <v xml:space="preserve">VIP client </v>
      </c>
    </row>
    <row r="456" spans="1:17">
      <c r="A456">
        <v>1226</v>
      </c>
      <c r="B456" t="s">
        <v>195</v>
      </c>
      <c r="C456" s="9" t="str">
        <f t="shared" si="56"/>
        <v>Lucas Silva</v>
      </c>
      <c r="D456" s="7" t="str">
        <f t="shared" si="57"/>
        <v xml:space="preserve"> Lucas Silva </v>
      </c>
      <c r="F456" s="7">
        <f t="shared" si="58"/>
        <v>43</v>
      </c>
      <c r="G456" t="s">
        <v>22</v>
      </c>
      <c r="H456" s="7" t="str">
        <f t="shared" si="59"/>
        <v>Germany</v>
      </c>
      <c r="I456" t="s">
        <v>329</v>
      </c>
      <c r="J456" s="7" t="str">
        <f>TEXT(
  IFERROR(
    DATEVALUE(SUBSTITUTE(SUBSTITUTE(TRIM(I456),"T"," "),"Z","")),
    IFERROR(
      DATE(
        RIGHT(TRIM(I456),4),
        MID(TRIM(I456),4,2),
        LEFT(TRIM(I456),2)
      ),
      DATE(
        VALUE(RIGHT(TRIM(I456),4)),
        MATCH(LEFT(TRIM(I456),FIND(" ",TRIM(I456))-1),
          {"January","February","March","April","May","June","July","August","September","October","November","December"},0),
        VALUE(MID(TRIM(I456),
          FIND(" ",TRIM(I456))+1,
          FIND(" ",TRIM(I456),FIND(" ",TRIM(I456))+1)-FIND(" ",TRIM(I456))-1))
      )
    )
  ),
"yyyy-mm-dd")</f>
        <v>2023-07-12</v>
      </c>
      <c r="K456" s="5" t="str">
        <f t="shared" si="60"/>
        <v>Jul</v>
      </c>
      <c r="L456">
        <v>1674991247</v>
      </c>
      <c r="M456" s="11">
        <f t="shared" si="61"/>
        <v>44955.472766203704</v>
      </c>
      <c r="O456" s="7">
        <f t="shared" si="62"/>
        <v>0</v>
      </c>
      <c r="P456" t="s">
        <v>20</v>
      </c>
      <c r="Q456" s="7" t="str">
        <f t="shared" si="63"/>
        <v xml:space="preserve">Great customer </v>
      </c>
    </row>
    <row r="457" spans="1:17">
      <c r="A457">
        <v>1415</v>
      </c>
      <c r="B457" t="s">
        <v>195</v>
      </c>
      <c r="C457" s="9" t="str">
        <f t="shared" si="56"/>
        <v>Lucas Silva</v>
      </c>
      <c r="D457" s="7" t="str">
        <f t="shared" si="57"/>
        <v xml:space="preserve"> Lucas Silva </v>
      </c>
      <c r="E457">
        <v>62</v>
      </c>
      <c r="F457" s="7">
        <f t="shared" si="58"/>
        <v>62</v>
      </c>
      <c r="G457" t="s">
        <v>54</v>
      </c>
      <c r="H457" s="7" t="str">
        <f t="shared" si="59"/>
        <v>Brazil</v>
      </c>
      <c r="I457" t="s">
        <v>492</v>
      </c>
      <c r="J457" s="7" t="str">
        <f>TEXT(
  IFERROR(
    DATEVALUE(SUBSTITUTE(SUBSTITUTE(TRIM(I457),"T"," "),"Z","")),
    IFERROR(
      DATE(
        RIGHT(TRIM(I457),4),
        MID(TRIM(I457),4,2),
        LEFT(TRIM(I457),2)
      ),
      DATE(
        VALUE(RIGHT(TRIM(I457),4)),
        MATCH(LEFT(TRIM(I457),FIND(" ",TRIM(I457))-1),
          {"January","February","March","April","May","June","July","August","September","October","November","December"},0),
        VALUE(MID(TRIM(I457),
          FIND(" ",TRIM(I457))+1,
          FIND(" ",TRIM(I457),FIND(" ",TRIM(I457))+1)-FIND(" ",TRIM(I457))-1))
      )
    )
  ),
"yyyy-mm-dd")</f>
        <v>2023-03-11</v>
      </c>
      <c r="K457" s="5" t="str">
        <f t="shared" si="60"/>
        <v>Mar</v>
      </c>
      <c r="L457">
        <v>1701100677</v>
      </c>
      <c r="M457" s="11">
        <f t="shared" si="61"/>
        <v>45257.665243055555</v>
      </c>
      <c r="O457" s="7">
        <f t="shared" si="62"/>
        <v>0</v>
      </c>
      <c r="P457" t="s">
        <v>33</v>
      </c>
      <c r="Q457" s="7" t="str">
        <f t="shared" si="63"/>
        <v>Frequent buyer n</v>
      </c>
    </row>
    <row r="458" spans="1:17">
      <c r="A458">
        <v>2002</v>
      </c>
      <c r="B458" t="s">
        <v>104</v>
      </c>
      <c r="C458" s="9" t="str">
        <f t="shared" si="56"/>
        <v>David Brown</v>
      </c>
      <c r="D458" s="7" t="str">
        <f t="shared" si="57"/>
        <v>David Brown</v>
      </c>
      <c r="E458">
        <v>47</v>
      </c>
      <c r="F458" s="7">
        <f t="shared" si="58"/>
        <v>47</v>
      </c>
      <c r="G458" t="s">
        <v>44</v>
      </c>
      <c r="H458" s="7" t="str">
        <f t="shared" si="59"/>
        <v>UAE</v>
      </c>
      <c r="I458" t="s">
        <v>388</v>
      </c>
      <c r="J458" s="7" t="str">
        <f>TEXT(
  IFERROR(
    DATEVALUE(SUBSTITUTE(SUBSTITUTE(TRIM(I458),"T"," "),"Z","")),
    IFERROR(
      DATE(
        RIGHT(TRIM(I458),4),
        MID(TRIM(I458),4,2),
        LEFT(TRIM(I458),2)
      ),
      DATE(
        VALUE(RIGHT(TRIM(I458),4)),
        MATCH(LEFT(TRIM(I458),FIND(" ",TRIM(I458))-1),
          {"January","February","March","April","May","June","July","August","September","October","November","December"},0),
        VALUE(MID(TRIM(I458),
          FIND(" ",TRIM(I458))+1,
          FIND(" ",TRIM(I458),FIND(" ",TRIM(I458))+1)-FIND(" ",TRIM(I458))-1))
      )
    )
  ),
"yyyy-mm-dd")</f>
        <v>2023-05-07</v>
      </c>
      <c r="K458" s="5" t="str">
        <f t="shared" si="60"/>
        <v>May</v>
      </c>
      <c r="L458">
        <v>1683506229</v>
      </c>
      <c r="M458" s="11">
        <f t="shared" si="61"/>
        <v>45054.02579861111</v>
      </c>
      <c r="N458">
        <v>657.03</v>
      </c>
      <c r="O458" s="7">
        <f t="shared" si="62"/>
        <v>657.03</v>
      </c>
      <c r="P458" t="s">
        <v>27</v>
      </c>
      <c r="Q458" s="7" t="str">
        <f t="shared" si="63"/>
        <v xml:space="preserve">Holiday signup </v>
      </c>
    </row>
    <row r="459" spans="1:17">
      <c r="A459">
        <v>1927</v>
      </c>
      <c r="B459" t="s">
        <v>69</v>
      </c>
      <c r="C459" s="9" t="str">
        <f t="shared" si="56"/>
        <v>Isabella Martinez</v>
      </c>
      <c r="D459" s="7" t="str">
        <f t="shared" si="57"/>
        <v xml:space="preserve"> Isabella Martinez </v>
      </c>
      <c r="E459">
        <v>18</v>
      </c>
      <c r="F459" s="7">
        <f t="shared" si="58"/>
        <v>18</v>
      </c>
      <c r="G459" t="s">
        <v>44</v>
      </c>
      <c r="H459" s="7" t="str">
        <f t="shared" si="59"/>
        <v>UAE</v>
      </c>
      <c r="I459" t="s">
        <v>493</v>
      </c>
      <c r="J459" s="7" t="str">
        <f>TEXT(
  IFERROR(
    DATEVALUE(SUBSTITUTE(SUBSTITUTE(TRIM(I459),"T"," "),"Z","")),
    IFERROR(
      DATE(
        RIGHT(TRIM(I459),4),
        MID(TRIM(I459),4,2),
        LEFT(TRIM(I459),2)
      ),
      DATE(
        VALUE(RIGHT(TRIM(I459),4)),
        MATCH(LEFT(TRIM(I459),FIND(" ",TRIM(I459))-1),
          {"January","February","March","April","May","June","July","August","September","October","November","December"},0),
        VALUE(MID(TRIM(I459),
          FIND(" ",TRIM(I459))+1,
          FIND(" ",TRIM(I459),FIND(" ",TRIM(I459))+1)-FIND(" ",TRIM(I459))-1))
      )
    )
  ),
"yyyy-mm-dd")</f>
        <v>2023-04-22</v>
      </c>
      <c r="K459" s="5" t="str">
        <f t="shared" si="60"/>
        <v>Apr</v>
      </c>
      <c r="L459">
        <v>1684550099</v>
      </c>
      <c r="M459" s="11">
        <f t="shared" si="61"/>
        <v>45066.107627314814</v>
      </c>
      <c r="N459">
        <v>450.73</v>
      </c>
      <c r="O459" s="7">
        <f t="shared" si="62"/>
        <v>450.73</v>
      </c>
      <c r="P459" t="s">
        <v>20</v>
      </c>
      <c r="Q459" s="7" t="str">
        <f t="shared" si="63"/>
        <v xml:space="preserve">Great customer </v>
      </c>
    </row>
    <row r="460" spans="1:17">
      <c r="A460">
        <v>1983</v>
      </c>
      <c r="B460" t="s">
        <v>101</v>
      </c>
      <c r="C460" s="9" t="str">
        <f t="shared" si="56"/>
        <v>Zoë Kravitz</v>
      </c>
      <c r="D460" s="7" t="str">
        <f t="shared" si="57"/>
        <v>Zoë Kravitz</v>
      </c>
      <c r="E460">
        <v>47</v>
      </c>
      <c r="F460" s="7">
        <f t="shared" si="58"/>
        <v>47</v>
      </c>
      <c r="G460" t="s">
        <v>29</v>
      </c>
      <c r="H460" s="7" t="str">
        <f t="shared" si="59"/>
        <v>United States</v>
      </c>
      <c r="I460" t="s">
        <v>494</v>
      </c>
      <c r="J460" s="7" t="str">
        <f>TEXT(
  IFERROR(
    DATEVALUE(SUBSTITUTE(SUBSTITUTE(TRIM(I460),"T"," "),"Z","")),
    IFERROR(
      DATE(
        RIGHT(TRIM(I460),4),
        MID(TRIM(I460),4,2),
        LEFT(TRIM(I460),2)
      ),
      DATE(
        VALUE(RIGHT(TRIM(I460),4)),
        MATCH(LEFT(TRIM(I460),FIND(" ",TRIM(I460))-1),
          {"January","February","March","April","May","June","July","August","September","October","November","December"},0),
        VALUE(MID(TRIM(I460),
          FIND(" ",TRIM(I460))+1,
          FIND(" ",TRIM(I460),FIND(" ",TRIM(I460))+1)-FIND(" ",TRIM(I460))-1))
      )
    )
  ),
"yyyy-mm-dd")</f>
        <v>2023-08-21</v>
      </c>
      <c r="K460" s="5" t="str">
        <f t="shared" si="60"/>
        <v>Aug</v>
      </c>
      <c r="L460">
        <v>1698422485</v>
      </c>
      <c r="M460" s="11">
        <f t="shared" si="61"/>
        <v>45226.667650462958</v>
      </c>
      <c r="O460" s="7">
        <f t="shared" si="62"/>
        <v>0</v>
      </c>
      <c r="P460" t="s">
        <v>33</v>
      </c>
      <c r="Q460" s="7" t="str">
        <f t="shared" si="63"/>
        <v>Frequent buyer n</v>
      </c>
    </row>
    <row r="461" spans="1:17">
      <c r="A461">
        <v>1686</v>
      </c>
      <c r="B461" t="s">
        <v>72</v>
      </c>
      <c r="C461" s="9" t="str">
        <f t="shared" si="56"/>
        <v>Emily Davis</v>
      </c>
      <c r="D461" s="7" t="str">
        <f t="shared" si="57"/>
        <v>Emily Davis</v>
      </c>
      <c r="E461">
        <v>48</v>
      </c>
      <c r="F461" s="7">
        <f t="shared" si="58"/>
        <v>48</v>
      </c>
      <c r="G461" t="s">
        <v>22</v>
      </c>
      <c r="H461" s="7" t="str">
        <f t="shared" si="59"/>
        <v>Germany</v>
      </c>
      <c r="I461" t="s">
        <v>495</v>
      </c>
      <c r="J461" s="7" t="str">
        <f>TEXT(
  IFERROR(
    DATEVALUE(SUBSTITUTE(SUBSTITUTE(TRIM(I461),"T"," "),"Z","")),
    IFERROR(
      DATE(
        RIGHT(TRIM(I461),4),
        MID(TRIM(I461),4,2),
        LEFT(TRIM(I461),2)
      ),
      DATE(
        VALUE(RIGHT(TRIM(I461),4)),
        MATCH(LEFT(TRIM(I461),FIND(" ",TRIM(I461))-1),
          {"January","February","March","April","May","June","July","August","September","October","November","December"},0),
        VALUE(MID(TRIM(I461),
          FIND(" ",TRIM(I461))+1,
          FIND(" ",TRIM(I461),FIND(" ",TRIM(I461))+1)-FIND(" ",TRIM(I461))-1))
      )
    )
  ),
"yyyy-mm-dd")</f>
        <v>2023-04-26</v>
      </c>
      <c r="K461" s="5" t="str">
        <f t="shared" si="60"/>
        <v>Apr</v>
      </c>
      <c r="L461">
        <v>1684359039</v>
      </c>
      <c r="M461" s="11">
        <f t="shared" si="61"/>
        <v>45063.896284722221</v>
      </c>
      <c r="O461" s="7">
        <f t="shared" si="62"/>
        <v>0</v>
      </c>
      <c r="P461" t="s">
        <v>58</v>
      </c>
      <c r="Q461" s="7" t="str">
        <f t="shared" si="63"/>
        <v>Student account</v>
      </c>
    </row>
    <row r="462" spans="1:17">
      <c r="A462">
        <v>1711</v>
      </c>
      <c r="B462" t="s">
        <v>74</v>
      </c>
      <c r="C462" s="9" t="str">
        <f t="shared" si="56"/>
        <v>Sofia Rossi</v>
      </c>
      <c r="D462" s="7" t="str">
        <f t="shared" si="57"/>
        <v>Sofia Rossi</v>
      </c>
      <c r="F462" s="7">
        <f t="shared" si="58"/>
        <v>43</v>
      </c>
      <c r="G462" t="s">
        <v>22</v>
      </c>
      <c r="H462" s="7" t="str">
        <f t="shared" si="59"/>
        <v>Germany</v>
      </c>
      <c r="I462" t="s">
        <v>496</v>
      </c>
      <c r="J462" s="7" t="str">
        <f>TEXT(
  IFERROR(
    DATEVALUE(SUBSTITUTE(SUBSTITUTE(TRIM(I462),"T"," "),"Z","")),
    IFERROR(
      DATE(
        RIGHT(TRIM(I462),4),
        MID(TRIM(I462),4,2),
        LEFT(TRIM(I462),2)
      ),
      DATE(
        VALUE(RIGHT(TRIM(I462),4)),
        MATCH(LEFT(TRIM(I462),FIND(" ",TRIM(I462))-1),
          {"January","February","March","April","May","June","July","August","September","October","November","December"},0),
        VALUE(MID(TRIM(I462),
          FIND(" ",TRIM(I462))+1,
          FIND(" ",TRIM(I462),FIND(" ",TRIM(I462))+1)-FIND(" ",TRIM(I462))-1))
      )
    )
  ),
"yyyy-mm-dd")</f>
        <v>2023-02-02</v>
      </c>
      <c r="K462" s="5" t="str">
        <f t="shared" si="60"/>
        <v>Feb</v>
      </c>
      <c r="L462">
        <v>1701776542</v>
      </c>
      <c r="M462" s="11">
        <f t="shared" si="61"/>
        <v>45265.487754629634</v>
      </c>
      <c r="O462" s="7">
        <f t="shared" si="62"/>
        <v>0</v>
      </c>
      <c r="P462" t="s">
        <v>118</v>
      </c>
      <c r="Q462" s="7" t="str">
        <f t="shared" si="63"/>
        <v>High engagement</v>
      </c>
    </row>
    <row r="463" spans="1:17">
      <c r="A463">
        <v>1352</v>
      </c>
      <c r="B463" t="s">
        <v>85</v>
      </c>
      <c r="C463" s="9" t="str">
        <f t="shared" si="56"/>
        <v>Akira Tanaka</v>
      </c>
      <c r="D463" s="7" t="str">
        <f t="shared" si="57"/>
        <v xml:space="preserve"> Akira Tanaka </v>
      </c>
      <c r="E463">
        <v>41</v>
      </c>
      <c r="F463" s="7">
        <f t="shared" si="58"/>
        <v>41</v>
      </c>
      <c r="G463" t="s">
        <v>18</v>
      </c>
      <c r="H463" s="7" t="str">
        <f t="shared" si="59"/>
        <v>United Kingdom</v>
      </c>
      <c r="I463" t="s">
        <v>497</v>
      </c>
      <c r="J463" s="7" t="str">
        <f>TEXT(
  IFERROR(
    DATEVALUE(SUBSTITUTE(SUBSTITUTE(TRIM(I463),"T"," "),"Z","")),
    IFERROR(
      DATE(
        RIGHT(TRIM(I463),4),
        MID(TRIM(I463),4,2),
        LEFT(TRIM(I463),2)
      ),
      DATE(
        VALUE(RIGHT(TRIM(I463),4)),
        MATCH(LEFT(TRIM(I463),FIND(" ",TRIM(I463))-1),
          {"January","February","March","April","May","June","July","August","September","October","November","December"},0),
        VALUE(MID(TRIM(I463),
          FIND(" ",TRIM(I463))+1,
          FIND(" ",TRIM(I463),FIND(" ",TRIM(I463))+1)-FIND(" ",TRIM(I463))-1))
      )
    )
  ),
"yyyy-mm-dd")</f>
        <v>2023-06-30</v>
      </c>
      <c r="K463" s="5" t="str">
        <f t="shared" si="60"/>
        <v>Jun</v>
      </c>
      <c r="L463">
        <v>1687822355</v>
      </c>
      <c r="M463" s="11">
        <f t="shared" si="61"/>
        <v>45103.980960648143</v>
      </c>
      <c r="N463">
        <v>1434.76</v>
      </c>
      <c r="O463" s="7">
        <f t="shared" si="62"/>
        <v>1434.76</v>
      </c>
      <c r="P463" t="s">
        <v>46</v>
      </c>
      <c r="Q463" s="7" t="str">
        <f t="shared" si="63"/>
        <v>Corporate account</v>
      </c>
    </row>
    <row r="464" spans="1:17">
      <c r="A464">
        <v>1260</v>
      </c>
      <c r="B464" t="s">
        <v>64</v>
      </c>
      <c r="C464" s="9" t="str">
        <f t="shared" si="56"/>
        <v>Ethan Clark</v>
      </c>
      <c r="D464" s="7" t="str">
        <f t="shared" si="57"/>
        <v xml:space="preserve"> Ethan Clark </v>
      </c>
      <c r="E464">
        <v>31</v>
      </c>
      <c r="F464" s="7">
        <f t="shared" si="58"/>
        <v>31</v>
      </c>
      <c r="G464" t="s">
        <v>29</v>
      </c>
      <c r="H464" s="7" t="str">
        <f t="shared" si="59"/>
        <v>United States</v>
      </c>
      <c r="I464" t="s">
        <v>498</v>
      </c>
      <c r="J464" s="7" t="str">
        <f>TEXT(
  IFERROR(
    DATEVALUE(SUBSTITUTE(SUBSTITUTE(TRIM(I464),"T"," "),"Z","")),
    IFERROR(
      DATE(
        RIGHT(TRIM(I464),4),
        MID(TRIM(I464),4,2),
        LEFT(TRIM(I464),2)
      ),
      DATE(
        VALUE(RIGHT(TRIM(I464),4)),
        MATCH(LEFT(TRIM(I464),FIND(" ",TRIM(I464))-1),
          {"January","February","March","April","May","June","July","August","September","October","November","December"},0),
        VALUE(MID(TRIM(I464),
          FIND(" ",TRIM(I464))+1,
          FIND(" ",TRIM(I464),FIND(" ",TRIM(I464))+1)-FIND(" ",TRIM(I464))-1))
      )
    )
  ),
"yyyy-mm-dd")</f>
        <v>2023-07-12</v>
      </c>
      <c r="K464" s="5" t="str">
        <f t="shared" si="60"/>
        <v>Jul</v>
      </c>
      <c r="L464">
        <v>1684061591</v>
      </c>
      <c r="M464" s="11">
        <f t="shared" si="61"/>
        <v>45060.453599537039</v>
      </c>
      <c r="O464" s="7">
        <f t="shared" si="62"/>
        <v>0</v>
      </c>
      <c r="P464" t="s">
        <v>46</v>
      </c>
      <c r="Q464" s="7" t="str">
        <f t="shared" si="63"/>
        <v>Corporate account</v>
      </c>
    </row>
    <row r="465" spans="1:17">
      <c r="A465">
        <v>1333</v>
      </c>
      <c r="B465" t="s">
        <v>148</v>
      </c>
      <c r="C465" s="9" t="str">
        <f t="shared" si="56"/>
        <v>Chloe Dubois</v>
      </c>
      <c r="D465" s="7" t="str">
        <f t="shared" si="57"/>
        <v>Chloe Dubois</v>
      </c>
      <c r="F465" s="7">
        <f t="shared" si="58"/>
        <v>43</v>
      </c>
      <c r="G465" t="s">
        <v>18</v>
      </c>
      <c r="H465" s="7" t="str">
        <f t="shared" si="59"/>
        <v>United Kingdom</v>
      </c>
      <c r="I465" t="s">
        <v>499</v>
      </c>
      <c r="J465" s="7" t="str">
        <f>TEXT(
  IFERROR(
    DATEVALUE(SUBSTITUTE(SUBSTITUTE(TRIM(I465),"T"," "),"Z","")),
    IFERROR(
      DATE(
        RIGHT(TRIM(I465),4),
        MID(TRIM(I465),4,2),
        LEFT(TRIM(I465),2)
      ),
      DATE(
        VALUE(RIGHT(TRIM(I465),4)),
        MATCH(LEFT(TRIM(I465),FIND(" ",TRIM(I465))-1),
          {"January","February","March","April","May","June","July","August","September","October","November","December"},0),
        VALUE(MID(TRIM(I465),
          FIND(" ",TRIM(I465))+1,
          FIND(" ",TRIM(I465),FIND(" ",TRIM(I465))+1)-FIND(" ",TRIM(I465))-1))
      )
    )
  ),
"yyyy-mm-dd")</f>
        <v>2023-08-23</v>
      </c>
      <c r="K465" s="5" t="str">
        <f t="shared" si="60"/>
        <v>Aug</v>
      </c>
      <c r="L465">
        <v>1677760278</v>
      </c>
      <c r="M465" s="11">
        <f t="shared" si="61"/>
        <v>44987.521736111114</v>
      </c>
      <c r="O465" s="7">
        <f t="shared" si="62"/>
        <v>0</v>
      </c>
      <c r="P465" t="s">
        <v>58</v>
      </c>
      <c r="Q465" s="7" t="str">
        <f t="shared" si="63"/>
        <v>Student account</v>
      </c>
    </row>
    <row r="466" spans="1:17">
      <c r="A466">
        <v>2129</v>
      </c>
      <c r="B466" t="s">
        <v>140</v>
      </c>
      <c r="C466" s="9" t="str">
        <f t="shared" si="56"/>
        <v>Anne Müller</v>
      </c>
      <c r="D466" s="7" t="str">
        <f t="shared" si="57"/>
        <v>Anne Müller</v>
      </c>
      <c r="E466">
        <v>43</v>
      </c>
      <c r="F466" s="7">
        <f t="shared" si="58"/>
        <v>43</v>
      </c>
      <c r="G466" t="s">
        <v>111</v>
      </c>
      <c r="H466" s="7" t="str">
        <f t="shared" si="59"/>
        <v>South Korea</v>
      </c>
      <c r="I466" t="s">
        <v>500</v>
      </c>
      <c r="J466" s="7" t="str">
        <f>TEXT(
  IFERROR(
    DATEVALUE(SUBSTITUTE(SUBSTITUTE(TRIM(I466),"T"," "),"Z","")),
    IFERROR(
      DATE(
        RIGHT(TRIM(I466),4),
        MID(TRIM(I466),4,2),
        LEFT(TRIM(I466),2)
      ),
      DATE(
        VALUE(RIGHT(TRIM(I466),4)),
        MATCH(LEFT(TRIM(I466),FIND(" ",TRIM(I466))-1),
          {"January","February","March","April","May","June","July","August","September","October","November","December"},0),
        VALUE(MID(TRIM(I466),
          FIND(" ",TRIM(I466))+1,
          FIND(" ",TRIM(I466),FIND(" ",TRIM(I466))+1)-FIND(" ",TRIM(I466))-1))
      )
    )
  ),
"yyyy-mm-dd")</f>
        <v>2023-07-02</v>
      </c>
      <c r="K466" s="5" t="str">
        <f t="shared" si="60"/>
        <v>Jul</v>
      </c>
      <c r="L466">
        <v>1683475041</v>
      </c>
      <c r="M466" s="11">
        <f t="shared" si="61"/>
        <v>45053.664826388893</v>
      </c>
      <c r="N466">
        <v>92</v>
      </c>
      <c r="O466" s="7">
        <f t="shared" si="62"/>
        <v>92</v>
      </c>
      <c r="P466" t="s">
        <v>27</v>
      </c>
      <c r="Q466" s="7" t="str">
        <f t="shared" si="63"/>
        <v xml:space="preserve">Holiday signup </v>
      </c>
    </row>
    <row r="467" spans="1:17">
      <c r="A467">
        <v>2079</v>
      </c>
      <c r="B467" t="s">
        <v>72</v>
      </c>
      <c r="C467" s="9" t="str">
        <f t="shared" si="56"/>
        <v>Emily Davis</v>
      </c>
      <c r="D467" s="7" t="str">
        <f t="shared" si="57"/>
        <v>Emily Davis</v>
      </c>
      <c r="E467">
        <v>35</v>
      </c>
      <c r="F467" s="7">
        <f t="shared" si="58"/>
        <v>35</v>
      </c>
      <c r="G467" t="s">
        <v>29</v>
      </c>
      <c r="H467" s="7" t="str">
        <f t="shared" si="59"/>
        <v>United States</v>
      </c>
      <c r="I467" t="s">
        <v>501</v>
      </c>
      <c r="J467" s="7" t="str">
        <f>TEXT(
  IFERROR(
    DATEVALUE(SUBSTITUTE(SUBSTITUTE(TRIM(I467),"T"," "),"Z","")),
    IFERROR(
      DATE(
        RIGHT(TRIM(I467),4),
        MID(TRIM(I467),4,2),
        LEFT(TRIM(I467),2)
      ),
      DATE(
        VALUE(RIGHT(TRIM(I467),4)),
        MATCH(LEFT(TRIM(I467),FIND(" ",TRIM(I467))-1),
          {"January","February","March","April","May","June","July","August","September","October","November","December"},0),
        VALUE(MID(TRIM(I467),
          FIND(" ",TRIM(I467))+1,
          FIND(" ",TRIM(I467),FIND(" ",TRIM(I467))+1)-FIND(" ",TRIM(I467))-1))
      )
    )
  ),
"yyyy-mm-dd")</f>
        <v>2023-10-03</v>
      </c>
      <c r="K467" s="5" t="str">
        <f t="shared" si="60"/>
        <v>Oct</v>
      </c>
      <c r="L467">
        <v>1695242477</v>
      </c>
      <c r="M467" s="11">
        <f t="shared" si="61"/>
        <v>45189.862002314811</v>
      </c>
      <c r="N467">
        <v>1010.62</v>
      </c>
      <c r="O467" s="7">
        <f t="shared" si="62"/>
        <v>1010.62</v>
      </c>
      <c r="P467" t="s">
        <v>46</v>
      </c>
      <c r="Q467" s="7" t="str">
        <f t="shared" si="63"/>
        <v>Corporate account</v>
      </c>
    </row>
    <row r="468" spans="1:17">
      <c r="A468">
        <v>1791</v>
      </c>
      <c r="B468" t="s">
        <v>34</v>
      </c>
      <c r="C468" s="9" t="str">
        <f t="shared" si="56"/>
        <v>Olivia Wilson</v>
      </c>
      <c r="D468" s="7" t="str">
        <f t="shared" si="57"/>
        <v xml:space="preserve"> Olivia Wilson </v>
      </c>
      <c r="F468" s="7">
        <f t="shared" si="58"/>
        <v>43</v>
      </c>
      <c r="G468" t="s">
        <v>111</v>
      </c>
      <c r="H468" s="7" t="str">
        <f t="shared" si="59"/>
        <v>South Korea</v>
      </c>
      <c r="I468" t="s">
        <v>225</v>
      </c>
      <c r="J468" s="7" t="str">
        <f>TEXT(
  IFERROR(
    DATEVALUE(SUBSTITUTE(SUBSTITUTE(TRIM(I468),"T"," "),"Z","")),
    IFERROR(
      DATE(
        RIGHT(TRIM(I468),4),
        MID(TRIM(I468),4,2),
        LEFT(TRIM(I468),2)
      ),
      DATE(
        VALUE(RIGHT(TRIM(I468),4)),
        MATCH(LEFT(TRIM(I468),FIND(" ",TRIM(I468))-1),
          {"January","February","March","April","May","June","July","August","September","October","November","December"},0),
        VALUE(MID(TRIM(I468),
          FIND(" ",TRIM(I468))+1,
          FIND(" ",TRIM(I468),FIND(" ",TRIM(I468))+1)-FIND(" ",TRIM(I468))-1))
      )
    )
  ),
"yyyy-mm-dd")</f>
        <v>2023-10-15</v>
      </c>
      <c r="K468" s="5" t="str">
        <f t="shared" si="60"/>
        <v>Oct</v>
      </c>
      <c r="L468">
        <v>1679761528</v>
      </c>
      <c r="M468" s="11">
        <f t="shared" si="61"/>
        <v>45010.684351851851</v>
      </c>
      <c r="O468" s="7">
        <f t="shared" si="62"/>
        <v>0</v>
      </c>
      <c r="P468" t="s">
        <v>118</v>
      </c>
      <c r="Q468" s="7" t="str">
        <f t="shared" si="63"/>
        <v>High engagement</v>
      </c>
    </row>
    <row r="469" spans="1:17">
      <c r="A469">
        <v>1973</v>
      </c>
      <c r="B469" t="s">
        <v>80</v>
      </c>
      <c r="C469" s="9" t="str">
        <f t="shared" si="56"/>
        <v>Ahmed Hassan</v>
      </c>
      <c r="D469" s="7" t="str">
        <f t="shared" si="57"/>
        <v>Ahmed Hassan</v>
      </c>
      <c r="F469" s="7">
        <f t="shared" si="58"/>
        <v>43</v>
      </c>
      <c r="G469" t="s">
        <v>29</v>
      </c>
      <c r="H469" s="7" t="str">
        <f t="shared" si="59"/>
        <v>United States</v>
      </c>
      <c r="I469" t="s">
        <v>502</v>
      </c>
      <c r="J469" s="7" t="str">
        <f>TEXT(
  IFERROR(
    DATEVALUE(SUBSTITUTE(SUBSTITUTE(TRIM(I469),"T"," "),"Z","")),
    IFERROR(
      DATE(
        RIGHT(TRIM(I469),4),
        MID(TRIM(I469),4,2),
        LEFT(TRIM(I469),2)
      ),
      DATE(
        VALUE(RIGHT(TRIM(I469),4)),
        MATCH(LEFT(TRIM(I469),FIND(" ",TRIM(I469))-1),
          {"January","February","March","April","May","June","July","August","September","October","November","December"},0),
        VALUE(MID(TRIM(I469),
          FIND(" ",TRIM(I469))+1,
          FIND(" ",TRIM(I469),FIND(" ",TRIM(I469))+1)-FIND(" ",TRIM(I469))-1))
      )
    )
  ),
"yyyy-mm-dd")</f>
        <v>2023-01-04</v>
      </c>
      <c r="K469" s="5" t="str">
        <f t="shared" si="60"/>
        <v>Jan</v>
      </c>
      <c r="L469">
        <v>1693958772</v>
      </c>
      <c r="M469" s="11">
        <f t="shared" si="61"/>
        <v>45175.004305555558</v>
      </c>
      <c r="O469" s="7">
        <f t="shared" si="62"/>
        <v>0</v>
      </c>
      <c r="P469" t="s">
        <v>33</v>
      </c>
      <c r="Q469" s="7" t="str">
        <f t="shared" si="63"/>
        <v>Frequent buyer n</v>
      </c>
    </row>
    <row r="470" spans="1:17">
      <c r="A470">
        <v>1590</v>
      </c>
      <c r="B470" t="s">
        <v>53</v>
      </c>
      <c r="C470" s="9" t="str">
        <f t="shared" si="56"/>
        <v>Sofia Rossi</v>
      </c>
      <c r="D470" s="7" t="str">
        <f t="shared" si="57"/>
        <v xml:space="preserve"> Sofia Rossi </v>
      </c>
      <c r="E470">
        <v>62</v>
      </c>
      <c r="F470" s="7">
        <f t="shared" si="58"/>
        <v>62</v>
      </c>
      <c r="G470" t="s">
        <v>29</v>
      </c>
      <c r="H470" s="7" t="str">
        <f t="shared" si="59"/>
        <v>United States</v>
      </c>
      <c r="I470" t="s">
        <v>503</v>
      </c>
      <c r="J470" s="7" t="str">
        <f>TEXT(
  IFERROR(
    DATEVALUE(SUBSTITUTE(SUBSTITUTE(TRIM(I470),"T"," "),"Z","")),
    IFERROR(
      DATE(
        RIGHT(TRIM(I470),4),
        MID(TRIM(I470),4,2),
        LEFT(TRIM(I470),2)
      ),
      DATE(
        VALUE(RIGHT(TRIM(I470),4)),
        MATCH(LEFT(TRIM(I470),FIND(" ",TRIM(I470))-1),
          {"January","February","March","April","May","June","July","August","September","October","November","December"},0),
        VALUE(MID(TRIM(I470),
          FIND(" ",TRIM(I470))+1,
          FIND(" ",TRIM(I470),FIND(" ",TRIM(I470))+1)-FIND(" ",TRIM(I470))-1))
      )
    )
  ),
"yyyy-mm-dd")</f>
        <v>2023-03-03</v>
      </c>
      <c r="K470" s="5" t="str">
        <f t="shared" si="60"/>
        <v>Mar</v>
      </c>
      <c r="L470">
        <v>1689068020</v>
      </c>
      <c r="M470" s="11">
        <f t="shared" si="61"/>
        <v>45118.398379629631</v>
      </c>
      <c r="N470">
        <v>1491.56</v>
      </c>
      <c r="O470" s="7">
        <f t="shared" si="62"/>
        <v>1491.56</v>
      </c>
      <c r="P470" t="s">
        <v>27</v>
      </c>
      <c r="Q470" s="7" t="str">
        <f t="shared" si="63"/>
        <v xml:space="preserve">Holiday signup </v>
      </c>
    </row>
    <row r="471" spans="1:17">
      <c r="A471">
        <v>1741</v>
      </c>
      <c r="B471" t="s">
        <v>166</v>
      </c>
      <c r="C471" s="9" t="str">
        <f t="shared" si="56"/>
        <v>Daniel Kim</v>
      </c>
      <c r="D471" s="7" t="str">
        <f t="shared" si="57"/>
        <v>Daniel Kim</v>
      </c>
      <c r="E471">
        <v>34</v>
      </c>
      <c r="F471" s="7">
        <f t="shared" si="58"/>
        <v>34</v>
      </c>
      <c r="G471" t="s">
        <v>60</v>
      </c>
      <c r="H471" s="7" t="str">
        <f t="shared" si="59"/>
        <v>Egypt</v>
      </c>
      <c r="I471" t="s">
        <v>357</v>
      </c>
      <c r="J471" s="7" t="str">
        <f>TEXT(
  IFERROR(
    DATEVALUE(SUBSTITUTE(SUBSTITUTE(TRIM(I471),"T"," "),"Z","")),
    IFERROR(
      DATE(
        RIGHT(TRIM(I471),4),
        MID(TRIM(I471),4,2),
        LEFT(TRIM(I471),2)
      ),
      DATE(
        VALUE(RIGHT(TRIM(I471),4)),
        MATCH(LEFT(TRIM(I471),FIND(" ",TRIM(I471))-1),
          {"January","February","March","April","May","June","July","August","September","October","November","December"},0),
        VALUE(MID(TRIM(I471),
          FIND(" ",TRIM(I471))+1,
          FIND(" ",TRIM(I471),FIND(" ",TRIM(I471))+1)-FIND(" ",TRIM(I471))-1))
      )
    )
  ),
"yyyy-mm-dd")</f>
        <v>2023-12-22</v>
      </c>
      <c r="K471" s="5" t="str">
        <f t="shared" si="60"/>
        <v>Dec</v>
      </c>
      <c r="L471">
        <v>1685046588</v>
      </c>
      <c r="M471" s="11">
        <f t="shared" si="61"/>
        <v>45071.854027777779</v>
      </c>
      <c r="N471">
        <v>773.66</v>
      </c>
      <c r="O471" s="7">
        <f t="shared" si="62"/>
        <v>773.66</v>
      </c>
      <c r="P471" t="s">
        <v>58</v>
      </c>
      <c r="Q471" s="7" t="str">
        <f t="shared" si="63"/>
        <v>Student account</v>
      </c>
    </row>
    <row r="472" spans="1:17">
      <c r="A472">
        <v>1334</v>
      </c>
      <c r="B472" t="s">
        <v>164</v>
      </c>
      <c r="C472" s="9" t="str">
        <f t="shared" si="56"/>
        <v>Daniel Kim</v>
      </c>
      <c r="D472" s="7" t="str">
        <f t="shared" si="57"/>
        <v xml:space="preserve"> Daniel Kim </v>
      </c>
      <c r="E472">
        <v>47</v>
      </c>
      <c r="F472" s="7">
        <f t="shared" si="58"/>
        <v>47</v>
      </c>
      <c r="G472" t="s">
        <v>18</v>
      </c>
      <c r="H472" s="7" t="str">
        <f t="shared" si="59"/>
        <v>United Kingdom</v>
      </c>
      <c r="I472" t="s">
        <v>504</v>
      </c>
      <c r="J472" s="7" t="str">
        <f>TEXT(
  IFERROR(
    DATEVALUE(SUBSTITUTE(SUBSTITUTE(TRIM(I472),"T"," "),"Z","")),
    IFERROR(
      DATE(
        RIGHT(TRIM(I472),4),
        MID(TRIM(I472),4,2),
        LEFT(TRIM(I472),2)
      ),
      DATE(
        VALUE(RIGHT(TRIM(I472),4)),
        MATCH(LEFT(TRIM(I472),FIND(" ",TRIM(I472))-1),
          {"January","February","March","April","May","June","July","August","September","October","November","December"},0),
        VALUE(MID(TRIM(I472),
          FIND(" ",TRIM(I472))+1,
          FIND(" ",TRIM(I472),FIND(" ",TRIM(I472))+1)-FIND(" ",TRIM(I472))-1))
      )
    )
  ),
"yyyy-mm-dd")</f>
        <v>2023-07-02</v>
      </c>
      <c r="K472" s="5" t="str">
        <f t="shared" si="60"/>
        <v>Jul</v>
      </c>
      <c r="L472">
        <v>1674298637</v>
      </c>
      <c r="M472" s="11">
        <f t="shared" si="61"/>
        <v>44947.456446759257</v>
      </c>
      <c r="O472" s="7">
        <f t="shared" si="62"/>
        <v>0</v>
      </c>
      <c r="P472" t="s">
        <v>84</v>
      </c>
      <c r="Q472" s="7" t="str">
        <f t="shared" si="63"/>
        <v xml:space="preserve">Newsletter subscriber </v>
      </c>
    </row>
    <row r="473" spans="1:17">
      <c r="A473">
        <v>1100</v>
      </c>
      <c r="B473" t="s">
        <v>240</v>
      </c>
      <c r="C473" s="9" t="str">
        <f t="shared" si="56"/>
        <v>Fatima Ali</v>
      </c>
      <c r="D473" s="7" t="str">
        <f t="shared" si="57"/>
        <v xml:space="preserve"> Fatima Ali </v>
      </c>
      <c r="E473">
        <v>22</v>
      </c>
      <c r="F473" s="7">
        <f t="shared" si="58"/>
        <v>22</v>
      </c>
      <c r="G473" t="s">
        <v>22</v>
      </c>
      <c r="H473" s="7" t="str">
        <f t="shared" si="59"/>
        <v>Germany</v>
      </c>
      <c r="I473" t="s">
        <v>505</v>
      </c>
      <c r="J473" s="7" t="str">
        <f>TEXT(
  IFERROR(
    DATEVALUE(SUBSTITUTE(SUBSTITUTE(TRIM(I473),"T"," "),"Z","")),
    IFERROR(
      DATE(
        RIGHT(TRIM(I473),4),
        MID(TRIM(I473),4,2),
        LEFT(TRIM(I473),2)
      ),
      DATE(
        VALUE(RIGHT(TRIM(I473),4)),
        MATCH(LEFT(TRIM(I473),FIND(" ",TRIM(I473))-1),
          {"January","February","March","April","May","June","July","August","September","October","November","December"},0),
        VALUE(MID(TRIM(I473),
          FIND(" ",TRIM(I473))+1,
          FIND(" ",TRIM(I473),FIND(" ",TRIM(I473))+1)-FIND(" ",TRIM(I473))-1))
      )
    )
  ),
"yyyy-mm-dd")</f>
        <v>2023-11-18</v>
      </c>
      <c r="K473" s="5" t="str">
        <f t="shared" si="60"/>
        <v>Nov</v>
      </c>
      <c r="L473">
        <v>1698182717</v>
      </c>
      <c r="M473" s="11">
        <f t="shared" si="61"/>
        <v>45223.892557870371</v>
      </c>
      <c r="N473">
        <v>150.82</v>
      </c>
      <c r="O473" s="7">
        <f t="shared" si="62"/>
        <v>150.82</v>
      </c>
      <c r="P473" t="s">
        <v>46</v>
      </c>
      <c r="Q473" s="7" t="str">
        <f t="shared" si="63"/>
        <v>Corporate account</v>
      </c>
    </row>
    <row r="474" spans="1:17">
      <c r="A474">
        <v>1661</v>
      </c>
      <c r="B474" t="s">
        <v>41</v>
      </c>
      <c r="C474" s="9" t="str">
        <f t="shared" si="56"/>
        <v>Lucas Silva</v>
      </c>
      <c r="D474" s="7" t="str">
        <f t="shared" si="57"/>
        <v>Lucas Silva</v>
      </c>
      <c r="F474" s="7">
        <f t="shared" si="58"/>
        <v>43</v>
      </c>
      <c r="G474" t="s">
        <v>122</v>
      </c>
      <c r="H474" s="7" t="str">
        <f t="shared" si="59"/>
        <v>Italy</v>
      </c>
      <c r="I474" t="s">
        <v>479</v>
      </c>
      <c r="J474" s="7" t="str">
        <f>TEXT(
  IFERROR(
    DATEVALUE(SUBSTITUTE(SUBSTITUTE(TRIM(I474),"T"," "),"Z","")),
    IFERROR(
      DATE(
        RIGHT(TRIM(I474),4),
        MID(TRIM(I474),4,2),
        LEFT(TRIM(I474),2)
      ),
      DATE(
        VALUE(RIGHT(TRIM(I474),4)),
        MATCH(LEFT(TRIM(I474),FIND(" ",TRIM(I474))-1),
          {"January","February","March","April","May","June","July","August","September","October","November","December"},0),
        VALUE(MID(TRIM(I474),
          FIND(" ",TRIM(I474))+1,
          FIND(" ",TRIM(I474),FIND(" ",TRIM(I474))+1)-FIND(" ",TRIM(I474))-1))
      )
    )
  ),
"yyyy-mm-dd")</f>
        <v>2023-02-19</v>
      </c>
      <c r="K474" s="5" t="str">
        <f t="shared" si="60"/>
        <v>Feb</v>
      </c>
      <c r="L474">
        <v>1691987135</v>
      </c>
      <c r="M474" s="11">
        <f t="shared" si="61"/>
        <v>45152.184432870374</v>
      </c>
      <c r="N474">
        <v>533.92999999999995</v>
      </c>
      <c r="O474" s="7">
        <f t="shared" si="62"/>
        <v>533.92999999999995</v>
      </c>
      <c r="P474" t="s">
        <v>20</v>
      </c>
      <c r="Q474" s="7" t="str">
        <f t="shared" si="63"/>
        <v xml:space="preserve">Great customer </v>
      </c>
    </row>
    <row r="475" spans="1:17">
      <c r="A475">
        <v>1281</v>
      </c>
      <c r="B475" t="s">
        <v>50</v>
      </c>
      <c r="C475" s="9" t="str">
        <f t="shared" si="56"/>
        <v>Ahmed Hassan</v>
      </c>
      <c r="D475" s="7" t="str">
        <f t="shared" si="57"/>
        <v xml:space="preserve"> Ahmed Hassan </v>
      </c>
      <c r="F475" s="7">
        <f t="shared" si="58"/>
        <v>43</v>
      </c>
      <c r="G475" t="s">
        <v>48</v>
      </c>
      <c r="H475" s="7" t="str">
        <f t="shared" si="59"/>
        <v>France</v>
      </c>
      <c r="I475" t="s">
        <v>506</v>
      </c>
      <c r="J475" s="7" t="str">
        <f>TEXT(
  IFERROR(
    DATEVALUE(SUBSTITUTE(SUBSTITUTE(TRIM(I475),"T"," "),"Z","")),
    IFERROR(
      DATE(
        RIGHT(TRIM(I475),4),
        MID(TRIM(I475),4,2),
        LEFT(TRIM(I475),2)
      ),
      DATE(
        VALUE(RIGHT(TRIM(I475),4)),
        MATCH(LEFT(TRIM(I475),FIND(" ",TRIM(I475))-1),
          {"January","February","March","April","May","June","July","August","September","October","November","December"},0),
        VALUE(MID(TRIM(I475),
          FIND(" ",TRIM(I475))+1,
          FIND(" ",TRIM(I475),FIND(" ",TRIM(I475))+1)-FIND(" ",TRIM(I475))-1))
      )
    )
  ),
"yyyy-mm-dd")</f>
        <v>2023-02-22</v>
      </c>
      <c r="K475" s="5" t="str">
        <f t="shared" si="60"/>
        <v>Feb</v>
      </c>
      <c r="L475">
        <v>1677710002</v>
      </c>
      <c r="M475" s="11">
        <f t="shared" si="61"/>
        <v>44986.939837962964</v>
      </c>
      <c r="N475">
        <v>760.04</v>
      </c>
      <c r="O475" s="7">
        <f t="shared" si="62"/>
        <v>760.04</v>
      </c>
      <c r="P475" t="s">
        <v>46</v>
      </c>
      <c r="Q475" s="7" t="str">
        <f t="shared" si="63"/>
        <v>Corporate account</v>
      </c>
    </row>
    <row r="476" spans="1:17">
      <c r="A476">
        <v>2077</v>
      </c>
      <c r="B476" t="s">
        <v>148</v>
      </c>
      <c r="C476" s="9" t="str">
        <f t="shared" si="56"/>
        <v>Chloe Dubois</v>
      </c>
      <c r="D476" s="7" t="str">
        <f t="shared" si="57"/>
        <v>Chloe Dubois</v>
      </c>
      <c r="F476" s="7">
        <f t="shared" si="58"/>
        <v>43</v>
      </c>
      <c r="G476" t="s">
        <v>111</v>
      </c>
      <c r="H476" s="7" t="str">
        <f t="shared" si="59"/>
        <v>South Korea</v>
      </c>
      <c r="I476" t="s">
        <v>507</v>
      </c>
      <c r="J476" s="7" t="str">
        <f>TEXT(
  IFERROR(
    DATEVALUE(SUBSTITUTE(SUBSTITUTE(TRIM(I476),"T"," "),"Z","")),
    IFERROR(
      DATE(
        RIGHT(TRIM(I476),4),
        MID(TRIM(I476),4,2),
        LEFT(TRIM(I476),2)
      ),
      DATE(
        VALUE(RIGHT(TRIM(I476),4)),
        MATCH(LEFT(TRIM(I476),FIND(" ",TRIM(I476))-1),
          {"January","February","March","April","May","June","July","August","September","October","November","December"},0),
        VALUE(MID(TRIM(I476),
          FIND(" ",TRIM(I476))+1,
          FIND(" ",TRIM(I476),FIND(" ",TRIM(I476))+1)-FIND(" ",TRIM(I476))-1))
      )
    )
  ),
"yyyy-mm-dd")</f>
        <v>2023-02-09</v>
      </c>
      <c r="K476" s="5" t="str">
        <f t="shared" si="60"/>
        <v>Feb</v>
      </c>
      <c r="L476">
        <v>1699999870</v>
      </c>
      <c r="M476" s="11">
        <f t="shared" si="61"/>
        <v>45244.924421296295</v>
      </c>
      <c r="N476">
        <v>205.54</v>
      </c>
      <c r="O476" s="7">
        <f t="shared" si="62"/>
        <v>205.54</v>
      </c>
      <c r="P476" t="s">
        <v>36</v>
      </c>
      <c r="Q476" s="7" t="str">
        <f t="shared" si="63"/>
        <v>Regular shopper</v>
      </c>
    </row>
    <row r="477" spans="1:17">
      <c r="A477">
        <v>1714</v>
      </c>
      <c r="B477" t="s">
        <v>107</v>
      </c>
      <c r="C477" s="9" t="str">
        <f t="shared" si="56"/>
        <v>Fatima Ali</v>
      </c>
      <c r="D477" s="7" t="str">
        <f t="shared" si="57"/>
        <v>Fatima Ali</v>
      </c>
      <c r="E477">
        <v>46</v>
      </c>
      <c r="F477" s="7">
        <f t="shared" si="58"/>
        <v>46</v>
      </c>
      <c r="G477" t="s">
        <v>67</v>
      </c>
      <c r="H477" s="7" t="str">
        <f t="shared" si="59"/>
        <v>Sweden</v>
      </c>
      <c r="I477" t="s">
        <v>348</v>
      </c>
      <c r="J477" s="7" t="str">
        <f>TEXT(
  IFERROR(
    DATEVALUE(SUBSTITUTE(SUBSTITUTE(TRIM(I477),"T"," "),"Z","")),
    IFERROR(
      DATE(
        RIGHT(TRIM(I477),4),
        MID(TRIM(I477),4,2),
        LEFT(TRIM(I477),2)
      ),
      DATE(
        VALUE(RIGHT(TRIM(I477),4)),
        MATCH(LEFT(TRIM(I477),FIND(" ",TRIM(I477))-1),
          {"January","February","March","April","May","June","July","August","September","October","November","December"},0),
        VALUE(MID(TRIM(I477),
          FIND(" ",TRIM(I477))+1,
          FIND(" ",TRIM(I477),FIND(" ",TRIM(I477))+1)-FIND(" ",TRIM(I477))-1))
      )
    )
  ),
"yyyy-mm-dd")</f>
        <v>2023-06-25</v>
      </c>
      <c r="K477" s="5" t="str">
        <f t="shared" si="60"/>
        <v>Jun</v>
      </c>
      <c r="L477">
        <v>1696344119</v>
      </c>
      <c r="M477" s="11">
        <f t="shared" si="61"/>
        <v>45202.612488425926</v>
      </c>
      <c r="N477">
        <v>463.98</v>
      </c>
      <c r="O477" s="7">
        <f t="shared" si="62"/>
        <v>463.98</v>
      </c>
      <c r="P477" t="s">
        <v>40</v>
      </c>
      <c r="Q477" s="7" t="str">
        <f t="shared" si="63"/>
        <v xml:space="preserve">VIP client </v>
      </c>
    </row>
    <row r="478" spans="1:17">
      <c r="A478">
        <v>1264</v>
      </c>
      <c r="B478" t="s">
        <v>31</v>
      </c>
      <c r="C478" s="9" t="str">
        <f t="shared" si="56"/>
        <v>Renée Dupont</v>
      </c>
      <c r="D478" s="7" t="str">
        <f t="shared" si="57"/>
        <v xml:space="preserve"> Renée Dupont </v>
      </c>
      <c r="E478">
        <v>32</v>
      </c>
      <c r="F478" s="7">
        <f t="shared" si="58"/>
        <v>32</v>
      </c>
      <c r="G478" t="s">
        <v>22</v>
      </c>
      <c r="H478" s="7" t="str">
        <f t="shared" si="59"/>
        <v>Germany</v>
      </c>
      <c r="I478" t="s">
        <v>508</v>
      </c>
      <c r="J478" s="7" t="str">
        <f>TEXT(
  IFERROR(
    DATEVALUE(SUBSTITUTE(SUBSTITUTE(TRIM(I478),"T"," "),"Z","")),
    IFERROR(
      DATE(
        RIGHT(TRIM(I478),4),
        MID(TRIM(I478),4,2),
        LEFT(TRIM(I478),2)
      ),
      DATE(
        VALUE(RIGHT(TRIM(I478),4)),
        MATCH(LEFT(TRIM(I478),FIND(" ",TRIM(I478))-1),
          {"January","February","March","April","May","June","July","August","September","October","November","December"},0),
        VALUE(MID(TRIM(I478),
          FIND(" ",TRIM(I478))+1,
          FIND(" ",TRIM(I478),FIND(" ",TRIM(I478))+1)-FIND(" ",TRIM(I478))-1))
      )
    )
  ),
"yyyy-mm-dd")</f>
        <v>2023-03-08</v>
      </c>
      <c r="K478" s="5" t="str">
        <f t="shared" si="60"/>
        <v>Mar</v>
      </c>
      <c r="L478">
        <v>1686778092</v>
      </c>
      <c r="M478" s="11">
        <f t="shared" si="61"/>
        <v>45091.894583333335</v>
      </c>
      <c r="N478">
        <v>1039.32</v>
      </c>
      <c r="O478" s="7">
        <f t="shared" si="62"/>
        <v>1039.32</v>
      </c>
      <c r="P478" t="s">
        <v>52</v>
      </c>
      <c r="Q478" s="7" t="str">
        <f t="shared" si="63"/>
        <v xml:space="preserve">Prefers email </v>
      </c>
    </row>
    <row r="479" spans="1:17">
      <c r="A479">
        <v>1089</v>
      </c>
      <c r="B479" t="s">
        <v>47</v>
      </c>
      <c r="C479" s="9" t="str">
        <f t="shared" si="56"/>
        <v>Li Wei</v>
      </c>
      <c r="D479" s="7" t="str">
        <f t="shared" si="57"/>
        <v>Li Wei</v>
      </c>
      <c r="E479">
        <v>18</v>
      </c>
      <c r="F479" s="7">
        <f t="shared" si="58"/>
        <v>18</v>
      </c>
      <c r="G479" t="s">
        <v>22</v>
      </c>
      <c r="H479" s="7" t="str">
        <f t="shared" si="59"/>
        <v>Germany</v>
      </c>
      <c r="I479" t="s">
        <v>509</v>
      </c>
      <c r="J479" s="7" t="str">
        <f>TEXT(
  IFERROR(
    DATEVALUE(SUBSTITUTE(SUBSTITUTE(TRIM(I479),"T"," "),"Z","")),
    IFERROR(
      DATE(
        RIGHT(TRIM(I479),4),
        MID(TRIM(I479),4,2),
        LEFT(TRIM(I479),2)
      ),
      DATE(
        VALUE(RIGHT(TRIM(I479),4)),
        MATCH(LEFT(TRIM(I479),FIND(" ",TRIM(I479))-1),
          {"January","February","March","April","May","June","July","August","September","October","November","December"},0),
        VALUE(MID(TRIM(I479),
          FIND(" ",TRIM(I479))+1,
          FIND(" ",TRIM(I479),FIND(" ",TRIM(I479))+1)-FIND(" ",TRIM(I479))-1))
      )
    )
  ),
"yyyy-mm-dd")</f>
        <v>2023-10-28</v>
      </c>
      <c r="K479" s="5" t="str">
        <f t="shared" si="60"/>
        <v>Oct</v>
      </c>
      <c r="L479">
        <v>1678724249</v>
      </c>
      <c r="M479" s="11">
        <f t="shared" si="61"/>
        <v>44998.678807870368</v>
      </c>
      <c r="N479">
        <v>1009.19</v>
      </c>
      <c r="O479" s="7">
        <f t="shared" si="62"/>
        <v>1009.19</v>
      </c>
      <c r="P479" t="s">
        <v>52</v>
      </c>
      <c r="Q479" s="7" t="str">
        <f t="shared" si="63"/>
        <v xml:space="preserve">Prefers email </v>
      </c>
    </row>
    <row r="480" spans="1:17">
      <c r="A480">
        <v>1299</v>
      </c>
      <c r="B480" t="s">
        <v>88</v>
      </c>
      <c r="C480" s="9" t="str">
        <f t="shared" si="56"/>
        <v>André Santos</v>
      </c>
      <c r="D480" s="7" t="str">
        <f t="shared" si="57"/>
        <v>André Santos</v>
      </c>
      <c r="F480" s="7">
        <f t="shared" si="58"/>
        <v>43</v>
      </c>
      <c r="G480" t="s">
        <v>48</v>
      </c>
      <c r="H480" s="7" t="str">
        <f t="shared" si="59"/>
        <v>France</v>
      </c>
      <c r="I480" t="s">
        <v>510</v>
      </c>
      <c r="J480" s="7" t="str">
        <f>TEXT(
  IFERROR(
    DATEVALUE(SUBSTITUTE(SUBSTITUTE(TRIM(I480),"T"," "),"Z","")),
    IFERROR(
      DATE(
        RIGHT(TRIM(I480),4),
        MID(TRIM(I480),4,2),
        LEFT(TRIM(I480),2)
      ),
      DATE(
        VALUE(RIGHT(TRIM(I480),4)),
        MATCH(LEFT(TRIM(I480),FIND(" ",TRIM(I480))-1),
          {"January","February","March","April","May","June","July","August","September","October","November","December"},0),
        VALUE(MID(TRIM(I480),
          FIND(" ",TRIM(I480))+1,
          FIND(" ",TRIM(I480),FIND(" ",TRIM(I480))+1)-FIND(" ",TRIM(I480))-1))
      )
    )
  ),
"yyyy-mm-dd")</f>
        <v>2023-09-14</v>
      </c>
      <c r="K480" s="5" t="str">
        <f t="shared" si="60"/>
        <v>Sep</v>
      </c>
      <c r="L480">
        <v>1680638217</v>
      </c>
      <c r="M480" s="11">
        <f t="shared" si="61"/>
        <v>45020.83121527778</v>
      </c>
      <c r="N480">
        <v>762.31</v>
      </c>
      <c r="O480" s="7">
        <f t="shared" si="62"/>
        <v>762.31</v>
      </c>
      <c r="P480" t="s">
        <v>52</v>
      </c>
      <c r="Q480" s="7" t="str">
        <f t="shared" si="63"/>
        <v xml:space="preserve">Prefers email </v>
      </c>
    </row>
    <row r="481" spans="1:17">
      <c r="A481">
        <v>2185</v>
      </c>
      <c r="B481" t="s">
        <v>97</v>
      </c>
      <c r="C481" s="9" t="str">
        <f t="shared" si="56"/>
        <v>Björn Larsson</v>
      </c>
      <c r="D481" s="7" t="str">
        <f t="shared" si="57"/>
        <v xml:space="preserve"> Björn Larsson </v>
      </c>
      <c r="E481">
        <v>31</v>
      </c>
      <c r="F481" s="7">
        <f t="shared" si="58"/>
        <v>31</v>
      </c>
      <c r="G481" t="s">
        <v>102</v>
      </c>
      <c r="H481" s="7" t="str">
        <f t="shared" si="59"/>
        <v>Mexico</v>
      </c>
      <c r="I481" t="s">
        <v>511</v>
      </c>
      <c r="J481" s="7" t="str">
        <f>TEXT(
  IFERROR(
    DATEVALUE(SUBSTITUTE(SUBSTITUTE(TRIM(I481),"T"," "),"Z","")),
    IFERROR(
      DATE(
        RIGHT(TRIM(I481),4),
        MID(TRIM(I481),4,2),
        LEFT(TRIM(I481),2)
      ),
      DATE(
        VALUE(RIGHT(TRIM(I481),4)),
        MATCH(LEFT(TRIM(I481),FIND(" ",TRIM(I481))-1),
          {"January","February","March","April","May","June","July","August","September","October","November","December"},0),
        VALUE(MID(TRIM(I481),
          FIND(" ",TRIM(I481))+1,
          FIND(" ",TRIM(I481),FIND(" ",TRIM(I481))+1)-FIND(" ",TRIM(I481))-1))
      )
    )
  ),
"yyyy-mm-dd")</f>
        <v>2023-03-29</v>
      </c>
      <c r="K481" s="5" t="str">
        <f t="shared" si="60"/>
        <v>Mar</v>
      </c>
      <c r="L481">
        <v>1672669254</v>
      </c>
      <c r="M481" s="11">
        <f t="shared" si="61"/>
        <v>44928.59784722222</v>
      </c>
      <c r="N481">
        <v>1460.63</v>
      </c>
      <c r="O481" s="7">
        <f t="shared" si="62"/>
        <v>1460.63</v>
      </c>
      <c r="P481" t="s">
        <v>40</v>
      </c>
      <c r="Q481" s="7" t="str">
        <f t="shared" si="63"/>
        <v xml:space="preserve">VIP client </v>
      </c>
    </row>
    <row r="482" spans="1:17">
      <c r="A482">
        <v>2033</v>
      </c>
      <c r="B482" t="s">
        <v>24</v>
      </c>
      <c r="C482" s="9" t="str">
        <f t="shared" si="56"/>
        <v>Renée Dupont</v>
      </c>
      <c r="D482" s="7" t="str">
        <f t="shared" si="57"/>
        <v>Renée Dupont</v>
      </c>
      <c r="E482">
        <v>62</v>
      </c>
      <c r="F482" s="7">
        <f t="shared" si="58"/>
        <v>62</v>
      </c>
      <c r="G482" t="s">
        <v>111</v>
      </c>
      <c r="H482" s="7" t="str">
        <f t="shared" si="59"/>
        <v>South Korea</v>
      </c>
      <c r="I482" t="s">
        <v>480</v>
      </c>
      <c r="J482" s="7" t="str">
        <f>TEXT(
  IFERROR(
    DATEVALUE(SUBSTITUTE(SUBSTITUTE(TRIM(I482),"T"," "),"Z","")),
    IFERROR(
      DATE(
        RIGHT(TRIM(I482),4),
        MID(TRIM(I482),4,2),
        LEFT(TRIM(I482),2)
      ),
      DATE(
        VALUE(RIGHT(TRIM(I482),4)),
        MATCH(LEFT(TRIM(I482),FIND(" ",TRIM(I482))-1),
          {"January","February","March","April","May","June","July","August","September","October","November","December"},0),
        VALUE(MID(TRIM(I482),
          FIND(" ",TRIM(I482))+1,
          FIND(" ",TRIM(I482),FIND(" ",TRIM(I482))+1)-FIND(" ",TRIM(I482))-1))
      )
    )
  ),
"yyyy-mm-dd")</f>
        <v>2023-12-11</v>
      </c>
      <c r="K482" s="5" t="str">
        <f t="shared" si="60"/>
        <v>Dec</v>
      </c>
      <c r="L482">
        <v>1678592269</v>
      </c>
      <c r="M482" s="11">
        <f t="shared" si="61"/>
        <v>44997.151261574079</v>
      </c>
      <c r="O482" s="7">
        <f t="shared" si="62"/>
        <v>0</v>
      </c>
      <c r="P482" t="s">
        <v>118</v>
      </c>
      <c r="Q482" s="7" t="str">
        <f t="shared" si="63"/>
        <v>High engagement</v>
      </c>
    </row>
    <row r="483" spans="1:17">
      <c r="A483">
        <v>1439</v>
      </c>
      <c r="B483" t="s">
        <v>50</v>
      </c>
      <c r="C483" s="9" t="str">
        <f t="shared" si="56"/>
        <v>Ahmed Hassan</v>
      </c>
      <c r="D483" s="7" t="str">
        <f t="shared" si="57"/>
        <v xml:space="preserve"> Ahmed Hassan </v>
      </c>
      <c r="E483">
        <v>25</v>
      </c>
      <c r="F483" s="7">
        <f t="shared" si="58"/>
        <v>25</v>
      </c>
      <c r="G483" t="s">
        <v>111</v>
      </c>
      <c r="H483" s="7" t="str">
        <f t="shared" si="59"/>
        <v>South Korea</v>
      </c>
      <c r="I483" t="s">
        <v>512</v>
      </c>
      <c r="J483" s="7" t="str">
        <f>TEXT(
  IFERROR(
    DATEVALUE(SUBSTITUTE(SUBSTITUTE(TRIM(I483),"T"," "),"Z","")),
    IFERROR(
      DATE(
        RIGHT(TRIM(I483),4),
        MID(TRIM(I483),4,2),
        LEFT(TRIM(I483),2)
      ),
      DATE(
        VALUE(RIGHT(TRIM(I483),4)),
        MATCH(LEFT(TRIM(I483),FIND(" ",TRIM(I483))-1),
          {"January","February","March","April","May","June","July","August","September","October","November","December"},0),
        VALUE(MID(TRIM(I483),
          FIND(" ",TRIM(I483))+1,
          FIND(" ",TRIM(I483),FIND(" ",TRIM(I483))+1)-FIND(" ",TRIM(I483))-1))
      )
    )
  ),
"yyyy-mm-dd")</f>
        <v>2023-02-26</v>
      </c>
      <c r="K483" s="5" t="str">
        <f t="shared" si="60"/>
        <v>Feb</v>
      </c>
      <c r="L483">
        <v>1677084462</v>
      </c>
      <c r="M483" s="11">
        <f t="shared" si="61"/>
        <v>44979.699791666666</v>
      </c>
      <c r="O483" s="7">
        <f t="shared" si="62"/>
        <v>0</v>
      </c>
      <c r="P483" t="s">
        <v>58</v>
      </c>
      <c r="Q483" s="7" t="str">
        <f t="shared" si="63"/>
        <v>Student account</v>
      </c>
    </row>
    <row r="484" spans="1:17">
      <c r="A484">
        <v>2192</v>
      </c>
      <c r="B484" t="s">
        <v>164</v>
      </c>
      <c r="C484" s="9" t="str">
        <f t="shared" si="56"/>
        <v>Daniel Kim</v>
      </c>
      <c r="D484" s="7" t="str">
        <f t="shared" si="57"/>
        <v xml:space="preserve"> Daniel Kim </v>
      </c>
      <c r="F484" s="7">
        <f t="shared" si="58"/>
        <v>43</v>
      </c>
      <c r="G484" t="s">
        <v>60</v>
      </c>
      <c r="H484" s="7" t="str">
        <f t="shared" si="59"/>
        <v>Egypt</v>
      </c>
      <c r="I484" t="s">
        <v>112</v>
      </c>
      <c r="J484" s="7" t="str">
        <f>TEXT(
  IFERROR(
    DATEVALUE(SUBSTITUTE(SUBSTITUTE(TRIM(I484),"T"," "),"Z","")),
    IFERROR(
      DATE(
        RIGHT(TRIM(I484),4),
        MID(TRIM(I484),4,2),
        LEFT(TRIM(I484),2)
      ),
      DATE(
        VALUE(RIGHT(TRIM(I484),4)),
        MATCH(LEFT(TRIM(I484),FIND(" ",TRIM(I484))-1),
          {"January","February","March","April","May","June","July","August","September","October","November","December"},0),
        VALUE(MID(TRIM(I484),
          FIND(" ",TRIM(I484))+1,
          FIND(" ",TRIM(I484),FIND(" ",TRIM(I484))+1)-FIND(" ",TRIM(I484))-1))
      )
    )
  ),
"yyyy-mm-dd")</f>
        <v>2023-12-08</v>
      </c>
      <c r="K484" s="5" t="str">
        <f t="shared" si="60"/>
        <v>Dec</v>
      </c>
      <c r="L484">
        <v>1686094875</v>
      </c>
      <c r="M484" s="11">
        <f t="shared" si="61"/>
        <v>45083.986979166672</v>
      </c>
      <c r="O484" s="7">
        <f t="shared" si="62"/>
        <v>0</v>
      </c>
      <c r="P484" t="s">
        <v>33</v>
      </c>
      <c r="Q484" s="7" t="str">
        <f t="shared" si="63"/>
        <v>Frequent buyer n</v>
      </c>
    </row>
    <row r="485" spans="1:17">
      <c r="A485">
        <v>1932</v>
      </c>
      <c r="B485" t="s">
        <v>224</v>
      </c>
      <c r="C485" s="9" t="str">
        <f t="shared" si="56"/>
        <v>Anne Müller</v>
      </c>
      <c r="D485" s="7" t="str">
        <f t="shared" si="57"/>
        <v xml:space="preserve"> Anne Müller </v>
      </c>
      <c r="E485">
        <v>49</v>
      </c>
      <c r="F485" s="7">
        <f t="shared" si="58"/>
        <v>49</v>
      </c>
      <c r="G485" t="s">
        <v>18</v>
      </c>
      <c r="H485" s="7" t="str">
        <f t="shared" si="59"/>
        <v>United Kingdom</v>
      </c>
      <c r="I485" t="s">
        <v>513</v>
      </c>
      <c r="J485" s="7" t="str">
        <f>TEXT(
  IFERROR(
    DATEVALUE(SUBSTITUTE(SUBSTITUTE(TRIM(I485),"T"," "),"Z","")),
    IFERROR(
      DATE(
        RIGHT(TRIM(I485),4),
        MID(TRIM(I485),4,2),
        LEFT(TRIM(I485),2)
      ),
      DATE(
        VALUE(RIGHT(TRIM(I485),4)),
        MATCH(LEFT(TRIM(I485),FIND(" ",TRIM(I485))-1),
          {"January","February","March","April","May","June","July","August","September","October","November","December"},0),
        VALUE(MID(TRIM(I485),
          FIND(" ",TRIM(I485))+1,
          FIND(" ",TRIM(I485),FIND(" ",TRIM(I485))+1)-FIND(" ",TRIM(I485))-1))
      )
    )
  ),
"yyyy-mm-dd")</f>
        <v>2023-01-16</v>
      </c>
      <c r="K485" s="5" t="str">
        <f t="shared" si="60"/>
        <v>Jan</v>
      </c>
      <c r="L485">
        <v>1697280404</v>
      </c>
      <c r="M485" s="11">
        <f t="shared" si="61"/>
        <v>45213.449120370366</v>
      </c>
      <c r="N485">
        <v>88.75</v>
      </c>
      <c r="O485" s="7">
        <f t="shared" si="62"/>
        <v>88.75</v>
      </c>
      <c r="P485" t="s">
        <v>36</v>
      </c>
      <c r="Q485" s="7" t="str">
        <f t="shared" si="63"/>
        <v>Regular shopper</v>
      </c>
    </row>
    <row r="486" spans="1:17">
      <c r="A486">
        <v>1055</v>
      </c>
      <c r="B486" t="s">
        <v>124</v>
      </c>
      <c r="C486" s="9" t="str">
        <f t="shared" si="56"/>
        <v>Sarah Johnson</v>
      </c>
      <c r="D486" s="7" t="str">
        <f t="shared" si="57"/>
        <v>Sarah Johnson</v>
      </c>
      <c r="E486">
        <v>61</v>
      </c>
      <c r="F486" s="7">
        <f t="shared" si="58"/>
        <v>61</v>
      </c>
      <c r="G486" t="s">
        <v>102</v>
      </c>
      <c r="H486" s="7" t="str">
        <f t="shared" si="59"/>
        <v>Mexico</v>
      </c>
      <c r="I486" t="s">
        <v>514</v>
      </c>
      <c r="J486" s="7" t="str">
        <f>TEXT(
  IFERROR(
    DATEVALUE(SUBSTITUTE(SUBSTITUTE(TRIM(I486),"T"," "),"Z","")),
    IFERROR(
      DATE(
        RIGHT(TRIM(I486),4),
        MID(TRIM(I486),4,2),
        LEFT(TRIM(I486),2)
      ),
      DATE(
        VALUE(RIGHT(TRIM(I486),4)),
        MATCH(LEFT(TRIM(I486),FIND(" ",TRIM(I486))-1),
          {"January","February","March","April","May","June","July","August","September","October","November","December"},0),
        VALUE(MID(TRIM(I486),
          FIND(" ",TRIM(I486))+1,
          FIND(" ",TRIM(I486),FIND(" ",TRIM(I486))+1)-FIND(" ",TRIM(I486))-1))
      )
    )
  ),
"yyyy-mm-dd")</f>
        <v>2023-11-15</v>
      </c>
      <c r="K486" s="5" t="str">
        <f t="shared" si="60"/>
        <v>Nov</v>
      </c>
      <c r="L486">
        <v>1675756420</v>
      </c>
      <c r="M486" s="11">
        <f t="shared" si="61"/>
        <v>44964.328935185185</v>
      </c>
      <c r="O486" s="7">
        <f t="shared" si="62"/>
        <v>0</v>
      </c>
      <c r="P486" t="s">
        <v>36</v>
      </c>
      <c r="Q486" s="7" t="str">
        <f t="shared" si="63"/>
        <v>Regular shopper</v>
      </c>
    </row>
    <row r="487" spans="1:17">
      <c r="A487">
        <v>1244</v>
      </c>
      <c r="B487" t="s">
        <v>126</v>
      </c>
      <c r="C487" s="9" t="str">
        <f t="shared" si="56"/>
        <v>Noah Martin</v>
      </c>
      <c r="D487" s="7" t="str">
        <f t="shared" si="57"/>
        <v>Noah Martin</v>
      </c>
      <c r="F487" s="7">
        <f t="shared" si="58"/>
        <v>43</v>
      </c>
      <c r="G487" t="s">
        <v>29</v>
      </c>
      <c r="H487" s="7" t="str">
        <f t="shared" si="59"/>
        <v>United States</v>
      </c>
      <c r="I487" t="s">
        <v>515</v>
      </c>
      <c r="J487" s="7" t="str">
        <f>TEXT(
  IFERROR(
    DATEVALUE(SUBSTITUTE(SUBSTITUTE(TRIM(I487),"T"," "),"Z","")),
    IFERROR(
      DATE(
        RIGHT(TRIM(I487),4),
        MID(TRIM(I487),4,2),
        LEFT(TRIM(I487),2)
      ),
      DATE(
        VALUE(RIGHT(TRIM(I487),4)),
        MATCH(LEFT(TRIM(I487),FIND(" ",TRIM(I487))-1),
          {"January","February","March","April","May","June","July","August","September","October","November","December"},0),
        VALUE(MID(TRIM(I487),
          FIND(" ",TRIM(I487))+1,
          FIND(" ",TRIM(I487),FIND(" ",TRIM(I487))+1)-FIND(" ",TRIM(I487))-1))
      )
    )
  ),
"yyyy-mm-dd")</f>
        <v>2023-01-17</v>
      </c>
      <c r="K487" s="5" t="str">
        <f t="shared" si="60"/>
        <v>Jan</v>
      </c>
      <c r="L487">
        <v>1691202629</v>
      </c>
      <c r="M487" s="11">
        <f t="shared" si="61"/>
        <v>45143.104502314818</v>
      </c>
      <c r="O487" s="7">
        <f t="shared" si="62"/>
        <v>0</v>
      </c>
      <c r="P487" t="s">
        <v>33</v>
      </c>
      <c r="Q487" s="7" t="str">
        <f t="shared" si="63"/>
        <v>Frequent buyer n</v>
      </c>
    </row>
    <row r="488" spans="1:17">
      <c r="A488">
        <v>2007</v>
      </c>
      <c r="B488" t="s">
        <v>53</v>
      </c>
      <c r="C488" s="9" t="str">
        <f t="shared" si="56"/>
        <v>Sofia Rossi</v>
      </c>
      <c r="D488" s="7" t="str">
        <f t="shared" si="57"/>
        <v xml:space="preserve"> Sofia Rossi </v>
      </c>
      <c r="F488" s="7">
        <f t="shared" si="58"/>
        <v>43</v>
      </c>
      <c r="G488" t="s">
        <v>18</v>
      </c>
      <c r="H488" s="7" t="str">
        <f t="shared" si="59"/>
        <v>United Kingdom</v>
      </c>
      <c r="I488" t="s">
        <v>516</v>
      </c>
      <c r="J488" s="7" t="str">
        <f>TEXT(
  IFERROR(
    DATEVALUE(SUBSTITUTE(SUBSTITUTE(TRIM(I488),"T"," "),"Z","")),
    IFERROR(
      DATE(
        RIGHT(TRIM(I488),4),
        MID(TRIM(I488),4,2),
        LEFT(TRIM(I488),2)
      ),
      DATE(
        VALUE(RIGHT(TRIM(I488),4)),
        MATCH(LEFT(TRIM(I488),FIND(" ",TRIM(I488))-1),
          {"January","February","March","April","May","June","July","August","September","October","November","December"},0),
        VALUE(MID(TRIM(I488),
          FIND(" ",TRIM(I488))+1,
          FIND(" ",TRIM(I488),FIND(" ",TRIM(I488))+1)-FIND(" ",TRIM(I488))-1))
      )
    )
  ),
"yyyy-mm-dd")</f>
        <v>2023-10-19</v>
      </c>
      <c r="K488" s="5" t="str">
        <f t="shared" si="60"/>
        <v>Oct</v>
      </c>
      <c r="L488">
        <v>1694672562</v>
      </c>
      <c r="M488" s="11">
        <f t="shared" si="61"/>
        <v>45183.265763888892</v>
      </c>
      <c r="O488" s="7">
        <f t="shared" si="62"/>
        <v>0</v>
      </c>
      <c r="P488" t="s">
        <v>36</v>
      </c>
      <c r="Q488" s="7" t="str">
        <f t="shared" si="63"/>
        <v>Regular shopper</v>
      </c>
    </row>
    <row r="489" spans="1:17">
      <c r="A489">
        <v>2152</v>
      </c>
      <c r="B489" t="s">
        <v>124</v>
      </c>
      <c r="C489" s="9" t="str">
        <f t="shared" si="56"/>
        <v>Sarah Johnson</v>
      </c>
      <c r="D489" s="7" t="str">
        <f t="shared" si="57"/>
        <v>Sarah Johnson</v>
      </c>
      <c r="F489" s="7">
        <f t="shared" si="58"/>
        <v>43</v>
      </c>
      <c r="G489" t="s">
        <v>116</v>
      </c>
      <c r="H489" s="7" t="str">
        <f t="shared" si="59"/>
        <v>China</v>
      </c>
      <c r="I489" t="s">
        <v>517</v>
      </c>
      <c r="J489" s="7" t="str">
        <f>TEXT(
  IFERROR(
    DATEVALUE(SUBSTITUTE(SUBSTITUTE(TRIM(I489),"T"," "),"Z","")),
    IFERROR(
      DATE(
        RIGHT(TRIM(I489),4),
        MID(TRIM(I489),4,2),
        LEFT(TRIM(I489),2)
      ),
      DATE(
        VALUE(RIGHT(TRIM(I489),4)),
        MATCH(LEFT(TRIM(I489),FIND(" ",TRIM(I489))-1),
          {"January","February","March","April","May","June","July","August","September","October","November","December"},0),
        VALUE(MID(TRIM(I489),
          FIND(" ",TRIM(I489))+1,
          FIND(" ",TRIM(I489),FIND(" ",TRIM(I489))+1)-FIND(" ",TRIM(I489))-1))
      )
    )
  ),
"yyyy-mm-dd")</f>
        <v>2023-12-11</v>
      </c>
      <c r="K489" s="5" t="str">
        <f t="shared" si="60"/>
        <v>Dec</v>
      </c>
      <c r="L489">
        <v>1698242491</v>
      </c>
      <c r="M489" s="11">
        <f t="shared" si="61"/>
        <v>45224.584386574075</v>
      </c>
      <c r="O489" s="7">
        <f t="shared" si="62"/>
        <v>0</v>
      </c>
      <c r="P489" t="s">
        <v>20</v>
      </c>
      <c r="Q489" s="7" t="str">
        <f t="shared" si="63"/>
        <v xml:space="preserve">Great customer </v>
      </c>
    </row>
    <row r="490" spans="1:17">
      <c r="A490">
        <v>1058</v>
      </c>
      <c r="B490" t="s">
        <v>164</v>
      </c>
      <c r="C490" s="9" t="str">
        <f t="shared" si="56"/>
        <v>Daniel Kim</v>
      </c>
      <c r="D490" s="7" t="str">
        <f t="shared" si="57"/>
        <v xml:space="preserve"> Daniel Kim </v>
      </c>
      <c r="E490">
        <v>40</v>
      </c>
      <c r="F490" s="7">
        <f t="shared" si="58"/>
        <v>40</v>
      </c>
      <c r="G490" t="s">
        <v>29</v>
      </c>
      <c r="H490" s="7" t="str">
        <f t="shared" si="59"/>
        <v>United States</v>
      </c>
      <c r="I490" t="s">
        <v>232</v>
      </c>
      <c r="J490" s="7" t="str">
        <f>TEXT(
  IFERROR(
    DATEVALUE(SUBSTITUTE(SUBSTITUTE(TRIM(I490),"T"," "),"Z","")),
    IFERROR(
      DATE(
        RIGHT(TRIM(I490),4),
        MID(TRIM(I490),4,2),
        LEFT(TRIM(I490),2)
      ),
      DATE(
        VALUE(RIGHT(TRIM(I490),4)),
        MATCH(LEFT(TRIM(I490),FIND(" ",TRIM(I490))-1),
          {"January","February","March","April","May","June","July","August","September","October","November","December"},0),
        VALUE(MID(TRIM(I490),
          FIND(" ",TRIM(I490))+1,
          FIND(" ",TRIM(I490),FIND(" ",TRIM(I490))+1)-FIND(" ",TRIM(I490))-1))
      )
    )
  ),
"yyyy-mm-dd")</f>
        <v>2023-11-17</v>
      </c>
      <c r="K490" s="5" t="str">
        <f t="shared" si="60"/>
        <v>Nov</v>
      </c>
      <c r="L490">
        <v>1685293923</v>
      </c>
      <c r="M490" s="11">
        <f t="shared" si="61"/>
        <v>45074.71670138889</v>
      </c>
      <c r="O490" s="7">
        <f t="shared" si="62"/>
        <v>0</v>
      </c>
      <c r="P490" t="s">
        <v>84</v>
      </c>
      <c r="Q490" s="7" t="str">
        <f t="shared" si="63"/>
        <v xml:space="preserve">Newsletter subscriber </v>
      </c>
    </row>
    <row r="491" spans="1:17">
      <c r="A491">
        <v>1046</v>
      </c>
      <c r="B491" t="s">
        <v>41</v>
      </c>
      <c r="C491" s="9" t="str">
        <f t="shared" si="56"/>
        <v>Lucas Silva</v>
      </c>
      <c r="D491" s="7" t="str">
        <f t="shared" si="57"/>
        <v>Lucas Silva</v>
      </c>
      <c r="E491">
        <v>38</v>
      </c>
      <c r="F491" s="7">
        <f t="shared" si="58"/>
        <v>38</v>
      </c>
      <c r="G491" t="s">
        <v>18</v>
      </c>
      <c r="H491" s="7" t="str">
        <f t="shared" si="59"/>
        <v>United Kingdom</v>
      </c>
      <c r="I491" t="s">
        <v>518</v>
      </c>
      <c r="J491" s="7" t="str">
        <f>TEXT(
  IFERROR(
    DATEVALUE(SUBSTITUTE(SUBSTITUTE(TRIM(I491),"T"," "),"Z","")),
    IFERROR(
      DATE(
        RIGHT(TRIM(I491),4),
        MID(TRIM(I491),4,2),
        LEFT(TRIM(I491),2)
      ),
      DATE(
        VALUE(RIGHT(TRIM(I491),4)),
        MATCH(LEFT(TRIM(I491),FIND(" ",TRIM(I491))-1),
          {"January","February","March","April","May","June","July","August","September","October","November","December"},0),
        VALUE(MID(TRIM(I491),
          FIND(" ",TRIM(I491))+1,
          FIND(" ",TRIM(I491),FIND(" ",TRIM(I491))+1)-FIND(" ",TRIM(I491))-1))
      )
    )
  ),
"yyyy-mm-dd")</f>
        <v>2023-09-08</v>
      </c>
      <c r="K491" s="5" t="str">
        <f t="shared" si="60"/>
        <v>Sep</v>
      </c>
      <c r="L491">
        <v>1695705547</v>
      </c>
      <c r="M491" s="11">
        <f t="shared" si="61"/>
        <v>45195.221608796295</v>
      </c>
      <c r="O491" s="7">
        <f t="shared" si="62"/>
        <v>0</v>
      </c>
      <c r="P491" t="s">
        <v>36</v>
      </c>
      <c r="Q491" s="7" t="str">
        <f t="shared" si="63"/>
        <v>Regular shopper</v>
      </c>
    </row>
    <row r="492" spans="1:17">
      <c r="A492">
        <v>1690</v>
      </c>
      <c r="B492" t="s">
        <v>85</v>
      </c>
      <c r="C492" s="9" t="str">
        <f t="shared" si="56"/>
        <v>Akira Tanaka</v>
      </c>
      <c r="D492" s="7" t="str">
        <f t="shared" si="57"/>
        <v xml:space="preserve"> Akira Tanaka </v>
      </c>
      <c r="F492" s="7">
        <f t="shared" si="58"/>
        <v>43</v>
      </c>
      <c r="G492" t="s">
        <v>22</v>
      </c>
      <c r="H492" s="7" t="str">
        <f t="shared" si="59"/>
        <v>Germany</v>
      </c>
      <c r="I492" t="s">
        <v>313</v>
      </c>
      <c r="J492" s="7" t="str">
        <f>TEXT(
  IFERROR(
    DATEVALUE(SUBSTITUTE(SUBSTITUTE(TRIM(I492),"T"," "),"Z","")),
    IFERROR(
      DATE(
        RIGHT(TRIM(I492),4),
        MID(TRIM(I492),4,2),
        LEFT(TRIM(I492),2)
      ),
      DATE(
        VALUE(RIGHT(TRIM(I492),4)),
        MATCH(LEFT(TRIM(I492),FIND(" ",TRIM(I492))-1),
          {"January","February","March","April","May","June","July","August","September","October","November","December"},0),
        VALUE(MID(TRIM(I492),
          FIND(" ",TRIM(I492))+1,
          FIND(" ",TRIM(I492),FIND(" ",TRIM(I492))+1)-FIND(" ",TRIM(I492))-1))
      )
    )
  ),
"yyyy-mm-dd")</f>
        <v>2023-06-27</v>
      </c>
      <c r="K492" s="5" t="str">
        <f t="shared" si="60"/>
        <v>Jun</v>
      </c>
      <c r="L492">
        <v>1694385947</v>
      </c>
      <c r="M492" s="11">
        <f t="shared" si="61"/>
        <v>45179.948460648149</v>
      </c>
      <c r="O492" s="7">
        <f t="shared" si="62"/>
        <v>0</v>
      </c>
      <c r="P492" t="s">
        <v>118</v>
      </c>
      <c r="Q492" s="7" t="str">
        <f t="shared" si="63"/>
        <v>High engagement</v>
      </c>
    </row>
    <row r="493" spans="1:17">
      <c r="A493">
        <v>2023</v>
      </c>
      <c r="B493" t="s">
        <v>104</v>
      </c>
      <c r="C493" s="9" t="str">
        <f t="shared" si="56"/>
        <v>David Brown</v>
      </c>
      <c r="D493" s="7" t="str">
        <f t="shared" si="57"/>
        <v>David Brown</v>
      </c>
      <c r="F493" s="7">
        <f t="shared" si="58"/>
        <v>43</v>
      </c>
      <c r="G493" t="s">
        <v>62</v>
      </c>
      <c r="H493" s="7" t="str">
        <f t="shared" si="59"/>
        <v>Ireland</v>
      </c>
      <c r="I493" t="s">
        <v>519</v>
      </c>
      <c r="J493" s="7" t="str">
        <f>TEXT(
  IFERROR(
    DATEVALUE(SUBSTITUTE(SUBSTITUTE(TRIM(I493),"T"," "),"Z","")),
    IFERROR(
      DATE(
        RIGHT(TRIM(I493),4),
        MID(TRIM(I493),4,2),
        LEFT(TRIM(I493),2)
      ),
      DATE(
        VALUE(RIGHT(TRIM(I493),4)),
        MATCH(LEFT(TRIM(I493),FIND(" ",TRIM(I493))-1),
          {"January","February","March","April","May","June","July","August","September","October","November","December"},0),
        VALUE(MID(TRIM(I493),
          FIND(" ",TRIM(I493))+1,
          FIND(" ",TRIM(I493),FIND(" ",TRIM(I493))+1)-FIND(" ",TRIM(I493))-1))
      )
    )
  ),
"yyyy-mm-dd")</f>
        <v>2023-11-11</v>
      </c>
      <c r="K493" s="5" t="str">
        <f t="shared" si="60"/>
        <v>Nov</v>
      </c>
      <c r="L493">
        <v>1703885177</v>
      </c>
      <c r="M493" s="11">
        <f t="shared" si="61"/>
        <v>45289.893252314811</v>
      </c>
      <c r="N493">
        <v>853.51</v>
      </c>
      <c r="O493" s="7">
        <f t="shared" si="62"/>
        <v>853.51</v>
      </c>
      <c r="P493" t="s">
        <v>46</v>
      </c>
      <c r="Q493" s="7" t="str">
        <f t="shared" si="63"/>
        <v>Corporate account</v>
      </c>
    </row>
    <row r="494" spans="1:17">
      <c r="A494">
        <v>1636</v>
      </c>
      <c r="B494" t="s">
        <v>210</v>
      </c>
      <c r="C494" s="9" t="str">
        <f t="shared" si="56"/>
        <v>Ethan Clark</v>
      </c>
      <c r="D494" s="7" t="str">
        <f t="shared" si="57"/>
        <v>Ethan Clark</v>
      </c>
      <c r="E494">
        <v>45</v>
      </c>
      <c r="F494" s="7">
        <f t="shared" si="58"/>
        <v>45</v>
      </c>
      <c r="G494" t="s">
        <v>29</v>
      </c>
      <c r="H494" s="7" t="str">
        <f t="shared" si="59"/>
        <v>United States</v>
      </c>
      <c r="I494" t="s">
        <v>520</v>
      </c>
      <c r="J494" s="7" t="str">
        <f>TEXT(
  IFERROR(
    DATEVALUE(SUBSTITUTE(SUBSTITUTE(TRIM(I494),"T"," "),"Z","")),
    IFERROR(
      DATE(
        RIGHT(TRIM(I494),4),
        MID(TRIM(I494),4,2),
        LEFT(TRIM(I494),2)
      ),
      DATE(
        VALUE(RIGHT(TRIM(I494),4)),
        MATCH(LEFT(TRIM(I494),FIND(" ",TRIM(I494))-1),
          {"January","February","March","April","May","June","July","August","September","October","November","December"},0),
        VALUE(MID(TRIM(I494),
          FIND(" ",TRIM(I494))+1,
          FIND(" ",TRIM(I494),FIND(" ",TRIM(I494))+1)-FIND(" ",TRIM(I494))-1))
      )
    )
  ),
"yyyy-mm-dd")</f>
        <v>2023-04-14</v>
      </c>
      <c r="K494" s="5" t="str">
        <f t="shared" si="60"/>
        <v>Apr</v>
      </c>
      <c r="L494">
        <v>1681674695</v>
      </c>
      <c r="M494" s="11">
        <f t="shared" si="61"/>
        <v>45032.82748842593</v>
      </c>
      <c r="O494" s="7">
        <f t="shared" si="62"/>
        <v>0</v>
      </c>
      <c r="P494" t="s">
        <v>58</v>
      </c>
      <c r="Q494" s="7" t="str">
        <f t="shared" si="63"/>
        <v>Student account</v>
      </c>
    </row>
    <row r="495" spans="1:17">
      <c r="A495">
        <v>1745</v>
      </c>
      <c r="B495" t="s">
        <v>101</v>
      </c>
      <c r="C495" s="9" t="str">
        <f t="shared" si="56"/>
        <v>Zoë Kravitz</v>
      </c>
      <c r="D495" s="7" t="str">
        <f t="shared" si="57"/>
        <v>Zoë Kravitz</v>
      </c>
      <c r="E495">
        <v>43</v>
      </c>
      <c r="F495" s="7">
        <f t="shared" si="58"/>
        <v>43</v>
      </c>
      <c r="G495" t="s">
        <v>18</v>
      </c>
      <c r="H495" s="7" t="str">
        <f t="shared" si="59"/>
        <v>United Kingdom</v>
      </c>
      <c r="I495" t="s">
        <v>200</v>
      </c>
      <c r="J495" s="7" t="str">
        <f>TEXT(
  IFERROR(
    DATEVALUE(SUBSTITUTE(SUBSTITUTE(TRIM(I495),"T"," "),"Z","")),
    IFERROR(
      DATE(
        RIGHT(TRIM(I495),4),
        MID(TRIM(I495),4,2),
        LEFT(TRIM(I495),2)
      ),
      DATE(
        VALUE(RIGHT(TRIM(I495),4)),
        MATCH(LEFT(TRIM(I495),FIND(" ",TRIM(I495))-1),
          {"January","February","March","April","May","June","July","August","September","October","November","December"},0),
        VALUE(MID(TRIM(I495),
          FIND(" ",TRIM(I495))+1,
          FIND(" ",TRIM(I495),FIND(" ",TRIM(I495))+1)-FIND(" ",TRIM(I495))-1))
      )
    )
  ),
"yyyy-mm-dd")</f>
        <v>2023-05-01</v>
      </c>
      <c r="K495" s="5" t="str">
        <f t="shared" si="60"/>
        <v>May</v>
      </c>
      <c r="L495">
        <v>1691682687</v>
      </c>
      <c r="M495" s="11">
        <f t="shared" si="61"/>
        <v>45148.660729166666</v>
      </c>
      <c r="N495">
        <v>1104.3800000000001</v>
      </c>
      <c r="O495" s="7">
        <f t="shared" si="62"/>
        <v>1104.3800000000001</v>
      </c>
      <c r="P495" t="s">
        <v>46</v>
      </c>
      <c r="Q495" s="7" t="str">
        <f t="shared" si="63"/>
        <v>Corporate account</v>
      </c>
    </row>
    <row r="496" spans="1:17">
      <c r="A496">
        <v>2189</v>
      </c>
      <c r="B496" t="s">
        <v>82</v>
      </c>
      <c r="C496" s="9" t="str">
        <f t="shared" si="56"/>
        <v>Björn Larsson</v>
      </c>
      <c r="D496" s="7" t="str">
        <f t="shared" si="57"/>
        <v>Björn Larsson</v>
      </c>
      <c r="E496">
        <v>34</v>
      </c>
      <c r="F496" s="7">
        <f t="shared" si="58"/>
        <v>34</v>
      </c>
      <c r="G496" t="s">
        <v>38</v>
      </c>
      <c r="H496" s="7" t="str">
        <f t="shared" si="59"/>
        <v>Spain</v>
      </c>
      <c r="I496" t="s">
        <v>521</v>
      </c>
      <c r="J496" s="7" t="str">
        <f>TEXT(
  IFERROR(
    DATEVALUE(SUBSTITUTE(SUBSTITUTE(TRIM(I496),"T"," "),"Z","")),
    IFERROR(
      DATE(
        RIGHT(TRIM(I496),4),
        MID(TRIM(I496),4,2),
        LEFT(TRIM(I496),2)
      ),
      DATE(
        VALUE(RIGHT(TRIM(I496),4)),
        MATCH(LEFT(TRIM(I496),FIND(" ",TRIM(I496))-1),
          {"January","February","March","April","May","June","July","August","September","October","November","December"},0),
        VALUE(MID(TRIM(I496),
          FIND(" ",TRIM(I496))+1,
          FIND(" ",TRIM(I496),FIND(" ",TRIM(I496))+1)-FIND(" ",TRIM(I496))-1))
      )
    )
  ),
"yyyy-mm-dd")</f>
        <v>2023-11-04</v>
      </c>
      <c r="K496" s="5" t="str">
        <f t="shared" si="60"/>
        <v>Nov</v>
      </c>
      <c r="L496">
        <v>1698467980</v>
      </c>
      <c r="M496" s="11">
        <f t="shared" si="61"/>
        <v>45227.194212962961</v>
      </c>
      <c r="O496" s="7">
        <f t="shared" si="62"/>
        <v>0</v>
      </c>
      <c r="P496" t="s">
        <v>27</v>
      </c>
      <c r="Q496" s="7" t="str">
        <f t="shared" si="63"/>
        <v xml:space="preserve">Holiday signup </v>
      </c>
    </row>
    <row r="497" spans="1:17">
      <c r="A497">
        <v>1799</v>
      </c>
      <c r="B497" t="s">
        <v>88</v>
      </c>
      <c r="C497" s="9" t="str">
        <f t="shared" si="56"/>
        <v>André Santos</v>
      </c>
      <c r="D497" s="7" t="str">
        <f t="shared" si="57"/>
        <v>André Santos</v>
      </c>
      <c r="E497">
        <v>45</v>
      </c>
      <c r="F497" s="7">
        <f t="shared" si="58"/>
        <v>45</v>
      </c>
      <c r="G497" t="s">
        <v>18</v>
      </c>
      <c r="H497" s="7" t="str">
        <f t="shared" si="59"/>
        <v>United Kingdom</v>
      </c>
      <c r="I497" t="s">
        <v>522</v>
      </c>
      <c r="J497" s="7" t="str">
        <f>TEXT(
  IFERROR(
    DATEVALUE(SUBSTITUTE(SUBSTITUTE(TRIM(I497),"T"," "),"Z","")),
    IFERROR(
      DATE(
        RIGHT(TRIM(I497),4),
        MID(TRIM(I497),4,2),
        LEFT(TRIM(I497),2)
      ),
      DATE(
        VALUE(RIGHT(TRIM(I497),4)),
        MATCH(LEFT(TRIM(I497),FIND(" ",TRIM(I497))-1),
          {"January","February","March","April","May","June","July","August","September","October","November","December"},0),
        VALUE(MID(TRIM(I497),
          FIND(" ",TRIM(I497))+1,
          FIND(" ",TRIM(I497),FIND(" ",TRIM(I497))+1)-FIND(" ",TRIM(I497))-1))
      )
    )
  ),
"yyyy-mm-dd")</f>
        <v>2023-03-31</v>
      </c>
      <c r="K497" s="5" t="str">
        <f t="shared" si="60"/>
        <v>Mar</v>
      </c>
      <c r="L497">
        <v>1681736279</v>
      </c>
      <c r="M497" s="11">
        <f t="shared" si="61"/>
        <v>45033.540266203709</v>
      </c>
      <c r="O497" s="7">
        <f t="shared" si="62"/>
        <v>0</v>
      </c>
      <c r="P497" t="s">
        <v>27</v>
      </c>
      <c r="Q497" s="7" t="str">
        <f t="shared" si="63"/>
        <v xml:space="preserve">Holiday signup </v>
      </c>
    </row>
    <row r="498" spans="1:17">
      <c r="A498">
        <v>1115</v>
      </c>
      <c r="B498" t="s">
        <v>131</v>
      </c>
      <c r="C498" s="9" t="str">
        <f t="shared" si="56"/>
        <v>Isabella Martinez</v>
      </c>
      <c r="D498" s="7" t="str">
        <f t="shared" si="57"/>
        <v>Isabella Martinez</v>
      </c>
      <c r="F498" s="7">
        <f t="shared" si="58"/>
        <v>43</v>
      </c>
      <c r="G498" t="s">
        <v>62</v>
      </c>
      <c r="H498" s="7" t="str">
        <f t="shared" si="59"/>
        <v>Ireland</v>
      </c>
      <c r="I498" t="s">
        <v>346</v>
      </c>
      <c r="J498" s="7" t="str">
        <f>TEXT(
  IFERROR(
    DATEVALUE(SUBSTITUTE(SUBSTITUTE(TRIM(I498),"T"," "),"Z","")),
    IFERROR(
      DATE(
        RIGHT(TRIM(I498),4),
        MID(TRIM(I498),4,2),
        LEFT(TRIM(I498),2)
      ),
      DATE(
        VALUE(RIGHT(TRIM(I498),4)),
        MATCH(LEFT(TRIM(I498),FIND(" ",TRIM(I498))-1),
          {"January","February","March","April","May","June","July","August","September","October","November","December"},0),
        VALUE(MID(TRIM(I498),
          FIND(" ",TRIM(I498))+1,
          FIND(" ",TRIM(I498),FIND(" ",TRIM(I498))+1)-FIND(" ",TRIM(I498))-1))
      )
    )
  ),
"yyyy-mm-dd")</f>
        <v>2023-08-05</v>
      </c>
      <c r="K498" s="5" t="str">
        <f t="shared" si="60"/>
        <v>Aug</v>
      </c>
      <c r="L498">
        <v>1695432900</v>
      </c>
      <c r="M498" s="11">
        <f t="shared" si="61"/>
        <v>45192.065972222219</v>
      </c>
      <c r="O498" s="7">
        <f t="shared" si="62"/>
        <v>0</v>
      </c>
      <c r="P498" t="s">
        <v>33</v>
      </c>
      <c r="Q498" s="7" t="str">
        <f t="shared" si="63"/>
        <v>Frequent buyer n</v>
      </c>
    </row>
    <row r="499" spans="1:17">
      <c r="A499">
        <v>2132</v>
      </c>
      <c r="B499" t="s">
        <v>126</v>
      </c>
      <c r="C499" s="9" t="str">
        <f t="shared" si="56"/>
        <v>Noah Martin</v>
      </c>
      <c r="D499" s="7" t="str">
        <f t="shared" si="57"/>
        <v>Noah Martin</v>
      </c>
      <c r="E499">
        <v>41</v>
      </c>
      <c r="F499" s="7">
        <f t="shared" si="58"/>
        <v>41</v>
      </c>
      <c r="G499" t="s">
        <v>18</v>
      </c>
      <c r="H499" s="7" t="str">
        <f t="shared" si="59"/>
        <v>United Kingdom</v>
      </c>
      <c r="I499" t="s">
        <v>523</v>
      </c>
      <c r="J499" s="7" t="str">
        <f>TEXT(
  IFERROR(
    DATEVALUE(SUBSTITUTE(SUBSTITUTE(TRIM(I499),"T"," "),"Z","")),
    IFERROR(
      DATE(
        RIGHT(TRIM(I499),4),
        MID(TRIM(I499),4,2),
        LEFT(TRIM(I499),2)
      ),
      DATE(
        VALUE(RIGHT(TRIM(I499),4)),
        MATCH(LEFT(TRIM(I499),FIND(" ",TRIM(I499))-1),
          {"January","February","March","April","May","June","July","August","September","October","November","December"},0),
        VALUE(MID(TRIM(I499),
          FIND(" ",TRIM(I499))+1,
          FIND(" ",TRIM(I499),FIND(" ",TRIM(I499))+1)-FIND(" ",TRIM(I499))-1))
      )
    )
  ),
"yyyy-mm-dd")</f>
        <v>2023-10-01</v>
      </c>
      <c r="K499" s="5" t="str">
        <f t="shared" si="60"/>
        <v>Oct</v>
      </c>
      <c r="L499">
        <v>1701301862</v>
      </c>
      <c r="M499" s="11">
        <f t="shared" si="61"/>
        <v>45259.993773148148</v>
      </c>
      <c r="N499">
        <v>669.18</v>
      </c>
      <c r="O499" s="7">
        <f t="shared" si="62"/>
        <v>669.18</v>
      </c>
      <c r="P499" t="s">
        <v>118</v>
      </c>
      <c r="Q499" s="7" t="str">
        <f t="shared" si="63"/>
        <v>High engagement</v>
      </c>
    </row>
    <row r="500" spans="1:17">
      <c r="A500">
        <v>1562</v>
      </c>
      <c r="B500" t="s">
        <v>47</v>
      </c>
      <c r="C500" s="9" t="str">
        <f t="shared" si="56"/>
        <v>Li Wei</v>
      </c>
      <c r="D500" s="7" t="str">
        <f t="shared" si="57"/>
        <v>Li Wei</v>
      </c>
      <c r="E500">
        <v>48</v>
      </c>
      <c r="F500" s="7">
        <f t="shared" si="58"/>
        <v>48</v>
      </c>
      <c r="G500" t="s">
        <v>44</v>
      </c>
      <c r="H500" s="7" t="str">
        <f t="shared" si="59"/>
        <v>UAE</v>
      </c>
      <c r="I500" t="s">
        <v>524</v>
      </c>
      <c r="J500" s="7" t="str">
        <f>TEXT(
  IFERROR(
    DATEVALUE(SUBSTITUTE(SUBSTITUTE(TRIM(I500),"T"," "),"Z","")),
    IFERROR(
      DATE(
        RIGHT(TRIM(I500),4),
        MID(TRIM(I500),4,2),
        LEFT(TRIM(I500),2)
      ),
      DATE(
        VALUE(RIGHT(TRIM(I500),4)),
        MATCH(LEFT(TRIM(I500),FIND(" ",TRIM(I500))-1),
          {"January","February","March","April","May","June","July","August","September","October","November","December"},0),
        VALUE(MID(TRIM(I500),
          FIND(" ",TRIM(I500))+1,
          FIND(" ",TRIM(I500),FIND(" ",TRIM(I500))+1)-FIND(" ",TRIM(I500))-1))
      )
    )
  ),
"yyyy-mm-dd")</f>
        <v>2023-06-20</v>
      </c>
      <c r="K500" s="5" t="str">
        <f t="shared" si="60"/>
        <v>Jun</v>
      </c>
      <c r="L500">
        <v>1701943224</v>
      </c>
      <c r="M500" s="11">
        <f t="shared" si="61"/>
        <v>45267.416944444441</v>
      </c>
      <c r="N500">
        <v>1378.63</v>
      </c>
      <c r="O500" s="7">
        <f t="shared" si="62"/>
        <v>1378.63</v>
      </c>
      <c r="P500" t="s">
        <v>33</v>
      </c>
      <c r="Q500" s="7" t="str">
        <f t="shared" si="63"/>
        <v>Frequent buyer n</v>
      </c>
    </row>
    <row r="501" spans="1:17">
      <c r="A501">
        <v>1535</v>
      </c>
      <c r="B501" t="s">
        <v>50</v>
      </c>
      <c r="C501" s="9" t="str">
        <f t="shared" si="56"/>
        <v>Ahmed Hassan</v>
      </c>
      <c r="D501" s="7" t="str">
        <f t="shared" si="57"/>
        <v xml:space="preserve"> Ahmed Hassan </v>
      </c>
      <c r="E501">
        <v>56</v>
      </c>
      <c r="F501" s="7">
        <f t="shared" si="58"/>
        <v>56</v>
      </c>
      <c r="G501" t="s">
        <v>62</v>
      </c>
      <c r="H501" s="7" t="str">
        <f t="shared" si="59"/>
        <v>Ireland</v>
      </c>
      <c r="I501" t="s">
        <v>525</v>
      </c>
      <c r="J501" s="7" t="str">
        <f>TEXT(
  IFERROR(
    DATEVALUE(SUBSTITUTE(SUBSTITUTE(TRIM(I501),"T"," "),"Z","")),
    IFERROR(
      DATE(
        RIGHT(TRIM(I501),4),
        MID(TRIM(I501),4,2),
        LEFT(TRIM(I501),2)
      ),
      DATE(
        VALUE(RIGHT(TRIM(I501),4)),
        MATCH(LEFT(TRIM(I501),FIND(" ",TRIM(I501))-1),
          {"January","February","March","April","May","June","July","August","September","October","November","December"},0),
        VALUE(MID(TRIM(I501),
          FIND(" ",TRIM(I501))+1,
          FIND(" ",TRIM(I501),FIND(" ",TRIM(I501))+1)-FIND(" ",TRIM(I501))-1))
      )
    )
  ),
"yyyy-mm-dd")</f>
        <v>2023-06-17</v>
      </c>
      <c r="K501" s="5" t="str">
        <f t="shared" si="60"/>
        <v>Jun</v>
      </c>
      <c r="L501">
        <v>1695851380</v>
      </c>
      <c r="M501" s="11">
        <f t="shared" si="61"/>
        <v>45196.909490740742</v>
      </c>
      <c r="N501">
        <v>50.75</v>
      </c>
      <c r="O501" s="7">
        <f t="shared" si="62"/>
        <v>50.75</v>
      </c>
      <c r="P501" t="s">
        <v>33</v>
      </c>
      <c r="Q501" s="7" t="str">
        <f t="shared" si="63"/>
        <v>Frequent buyer n</v>
      </c>
    </row>
    <row r="502" spans="1:17">
      <c r="A502">
        <v>2162</v>
      </c>
      <c r="B502" t="s">
        <v>224</v>
      </c>
      <c r="C502" s="9" t="str">
        <f t="shared" si="56"/>
        <v>Anne Müller</v>
      </c>
      <c r="D502" s="7" t="str">
        <f t="shared" si="57"/>
        <v xml:space="preserve"> Anne Müller </v>
      </c>
      <c r="F502" s="7">
        <f t="shared" si="58"/>
        <v>43</v>
      </c>
      <c r="G502" t="s">
        <v>60</v>
      </c>
      <c r="H502" s="7" t="str">
        <f t="shared" si="59"/>
        <v>Egypt</v>
      </c>
      <c r="I502" t="s">
        <v>526</v>
      </c>
      <c r="J502" s="7" t="str">
        <f>TEXT(
  IFERROR(
    DATEVALUE(SUBSTITUTE(SUBSTITUTE(TRIM(I502),"T"," "),"Z","")),
    IFERROR(
      DATE(
        RIGHT(TRIM(I502),4),
        MID(TRIM(I502),4,2),
        LEFT(TRIM(I502),2)
      ),
      DATE(
        VALUE(RIGHT(TRIM(I502),4)),
        MATCH(LEFT(TRIM(I502),FIND(" ",TRIM(I502))-1),
          {"January","February","March","April","May","June","July","August","September","October","November","December"},0),
        VALUE(MID(TRIM(I502),
          FIND(" ",TRIM(I502))+1,
          FIND(" ",TRIM(I502),FIND(" ",TRIM(I502))+1)-FIND(" ",TRIM(I502))-1))
      )
    )
  ),
"yyyy-mm-dd")</f>
        <v>2023-03-02</v>
      </c>
      <c r="K502" s="5" t="str">
        <f t="shared" si="60"/>
        <v>Mar</v>
      </c>
      <c r="L502">
        <v>1696467225</v>
      </c>
      <c r="M502" s="11">
        <f t="shared" si="61"/>
        <v>45204.037326388891</v>
      </c>
      <c r="O502" s="7">
        <f t="shared" si="62"/>
        <v>0</v>
      </c>
      <c r="P502" t="s">
        <v>58</v>
      </c>
      <c r="Q502" s="7" t="str">
        <f t="shared" si="63"/>
        <v>Student account</v>
      </c>
    </row>
    <row r="503" spans="1:17">
      <c r="A503">
        <v>2013</v>
      </c>
      <c r="B503" t="s">
        <v>198</v>
      </c>
      <c r="C503" s="9" t="str">
        <f t="shared" si="56"/>
        <v>Noah Martin</v>
      </c>
      <c r="D503" s="7" t="str">
        <f t="shared" si="57"/>
        <v xml:space="preserve"> Noah Martin </v>
      </c>
      <c r="E503">
        <v>31</v>
      </c>
      <c r="F503" s="7">
        <f t="shared" si="58"/>
        <v>31</v>
      </c>
      <c r="G503" t="s">
        <v>102</v>
      </c>
      <c r="H503" s="7" t="str">
        <f t="shared" si="59"/>
        <v>Mexico</v>
      </c>
      <c r="I503" t="s">
        <v>527</v>
      </c>
      <c r="J503" s="7" t="str">
        <f>TEXT(
  IFERROR(
    DATEVALUE(SUBSTITUTE(SUBSTITUTE(TRIM(I503),"T"," "),"Z","")),
    IFERROR(
      DATE(
        RIGHT(TRIM(I503),4),
        MID(TRIM(I503),4,2),
        LEFT(TRIM(I503),2)
      ),
      DATE(
        VALUE(RIGHT(TRIM(I503),4)),
        MATCH(LEFT(TRIM(I503),FIND(" ",TRIM(I503))-1),
          {"January","February","March","April","May","June","July","August","September","October","November","December"},0),
        VALUE(MID(TRIM(I503),
          FIND(" ",TRIM(I503))+1,
          FIND(" ",TRIM(I503),FIND(" ",TRIM(I503))+1)-FIND(" ",TRIM(I503))-1))
      )
    )
  ),
"yyyy-mm-dd")</f>
        <v>2023-12-13</v>
      </c>
      <c r="K503" s="5" t="str">
        <f t="shared" si="60"/>
        <v>Dec</v>
      </c>
      <c r="L503">
        <v>1686560858</v>
      </c>
      <c r="M503" s="11">
        <f t="shared" si="61"/>
        <v>45089.380300925928</v>
      </c>
      <c r="N503">
        <v>278.75</v>
      </c>
      <c r="O503" s="7">
        <f t="shared" si="62"/>
        <v>278.75</v>
      </c>
      <c r="P503" t="s">
        <v>20</v>
      </c>
      <c r="Q503" s="7" t="str">
        <f t="shared" si="63"/>
        <v xml:space="preserve">Great customer </v>
      </c>
    </row>
    <row r="504" spans="1:17">
      <c r="A504">
        <v>1595</v>
      </c>
      <c r="B504" t="s">
        <v>85</v>
      </c>
      <c r="C504" s="9" t="str">
        <f t="shared" si="56"/>
        <v>Akira Tanaka</v>
      </c>
      <c r="D504" s="7" t="str">
        <f t="shared" si="57"/>
        <v xml:space="preserve"> Akira Tanaka </v>
      </c>
      <c r="F504" s="7">
        <f t="shared" si="58"/>
        <v>43</v>
      </c>
      <c r="G504" t="s">
        <v>111</v>
      </c>
      <c r="H504" s="7" t="str">
        <f t="shared" si="59"/>
        <v>South Korea</v>
      </c>
      <c r="I504" t="s">
        <v>528</v>
      </c>
      <c r="J504" s="7" t="str">
        <f>TEXT(
  IFERROR(
    DATEVALUE(SUBSTITUTE(SUBSTITUTE(TRIM(I504),"T"," "),"Z","")),
    IFERROR(
      DATE(
        RIGHT(TRIM(I504),4),
        MID(TRIM(I504),4,2),
        LEFT(TRIM(I504),2)
      ),
      DATE(
        VALUE(RIGHT(TRIM(I504),4)),
        MATCH(LEFT(TRIM(I504),FIND(" ",TRIM(I504))-1),
          {"January","February","March","April","May","June","July","August","September","October","November","December"},0),
        VALUE(MID(TRIM(I504),
          FIND(" ",TRIM(I504))+1,
          FIND(" ",TRIM(I504),FIND(" ",TRIM(I504))+1)-FIND(" ",TRIM(I504))-1))
      )
    )
  ),
"yyyy-mm-dd")</f>
        <v>2023-02-13</v>
      </c>
      <c r="K504" s="5" t="str">
        <f t="shared" si="60"/>
        <v>Feb</v>
      </c>
      <c r="L504">
        <v>1688257056</v>
      </c>
      <c r="M504" s="11">
        <f t="shared" si="61"/>
        <v>45109.012222222227</v>
      </c>
      <c r="O504" s="7">
        <f t="shared" si="62"/>
        <v>0</v>
      </c>
      <c r="P504" t="s">
        <v>118</v>
      </c>
      <c r="Q504" s="7" t="str">
        <f t="shared" si="63"/>
        <v>High engagement</v>
      </c>
    </row>
    <row r="505" spans="1:17">
      <c r="A505">
        <v>1435</v>
      </c>
      <c r="B505" t="s">
        <v>24</v>
      </c>
      <c r="C505" s="9" t="str">
        <f t="shared" si="56"/>
        <v>Renée Dupont</v>
      </c>
      <c r="D505" s="7" t="str">
        <f t="shared" si="57"/>
        <v>Renée Dupont</v>
      </c>
      <c r="E505">
        <v>65</v>
      </c>
      <c r="F505" s="7">
        <f t="shared" si="58"/>
        <v>65</v>
      </c>
      <c r="G505" t="s">
        <v>54</v>
      </c>
      <c r="H505" s="7" t="str">
        <f t="shared" si="59"/>
        <v>Brazil</v>
      </c>
      <c r="I505" t="s">
        <v>182</v>
      </c>
      <c r="J505" s="7" t="str">
        <f>TEXT(
  IFERROR(
    DATEVALUE(SUBSTITUTE(SUBSTITUTE(TRIM(I505),"T"," "),"Z","")),
    IFERROR(
      DATE(
        RIGHT(TRIM(I505),4),
        MID(TRIM(I505),4,2),
        LEFT(TRIM(I505),2)
      ),
      DATE(
        VALUE(RIGHT(TRIM(I505),4)),
        MATCH(LEFT(TRIM(I505),FIND(" ",TRIM(I505))-1),
          {"January","February","March","April","May","June","July","August","September","October","November","December"},0),
        VALUE(MID(TRIM(I505),
          FIND(" ",TRIM(I505))+1,
          FIND(" ",TRIM(I505),FIND(" ",TRIM(I505))+1)-FIND(" ",TRIM(I505))-1))
      )
    )
  ),
"yyyy-mm-dd")</f>
        <v>2023-02-07</v>
      </c>
      <c r="K505" s="5" t="str">
        <f t="shared" si="60"/>
        <v>Feb</v>
      </c>
      <c r="L505">
        <v>1691213817</v>
      </c>
      <c r="M505" s="11">
        <f t="shared" si="61"/>
        <v>45143.233993055561</v>
      </c>
      <c r="O505" s="7">
        <f t="shared" si="62"/>
        <v>0</v>
      </c>
      <c r="P505" t="s">
        <v>40</v>
      </c>
      <c r="Q505" s="7" t="str">
        <f t="shared" si="63"/>
        <v xml:space="preserve">VIP client </v>
      </c>
    </row>
    <row r="506" spans="1:17">
      <c r="A506">
        <v>1957</v>
      </c>
      <c r="B506" t="s">
        <v>53</v>
      </c>
      <c r="C506" s="9" t="str">
        <f t="shared" si="56"/>
        <v>Sofia Rossi</v>
      </c>
      <c r="D506" s="7" t="str">
        <f t="shared" si="57"/>
        <v xml:space="preserve"> Sofia Rossi </v>
      </c>
      <c r="F506" s="7">
        <f t="shared" si="58"/>
        <v>43</v>
      </c>
      <c r="G506" t="s">
        <v>122</v>
      </c>
      <c r="H506" s="7" t="str">
        <f t="shared" si="59"/>
        <v>Italy</v>
      </c>
      <c r="I506" t="s">
        <v>342</v>
      </c>
      <c r="J506" s="7" t="str">
        <f>TEXT(
  IFERROR(
    DATEVALUE(SUBSTITUTE(SUBSTITUTE(TRIM(I506),"T"," "),"Z","")),
    IFERROR(
      DATE(
        RIGHT(TRIM(I506),4),
        MID(TRIM(I506),4,2),
        LEFT(TRIM(I506),2)
      ),
      DATE(
        VALUE(RIGHT(TRIM(I506),4)),
        MATCH(LEFT(TRIM(I506),FIND(" ",TRIM(I506))-1),
          {"January","February","March","April","May","June","July","August","September","October","November","December"},0),
        VALUE(MID(TRIM(I506),
          FIND(" ",TRIM(I506))+1,
          FIND(" ",TRIM(I506),FIND(" ",TRIM(I506))+1)-FIND(" ",TRIM(I506))-1))
      )
    )
  ),
"yyyy-mm-dd")</f>
        <v>2023-12-30</v>
      </c>
      <c r="K506" s="5" t="str">
        <f t="shared" si="60"/>
        <v>Dec</v>
      </c>
      <c r="L506">
        <v>1688804594</v>
      </c>
      <c r="M506" s="11">
        <f t="shared" si="61"/>
        <v>45115.34946759259</v>
      </c>
      <c r="N506">
        <v>692.06</v>
      </c>
      <c r="O506" s="7">
        <f t="shared" si="62"/>
        <v>692.06</v>
      </c>
      <c r="P506" t="s">
        <v>33</v>
      </c>
      <c r="Q506" s="7" t="str">
        <f t="shared" si="63"/>
        <v>Frequent buyer n</v>
      </c>
    </row>
    <row r="507" spans="1:17">
      <c r="A507">
        <v>1254</v>
      </c>
      <c r="B507" t="s">
        <v>34</v>
      </c>
      <c r="C507" s="9" t="str">
        <f t="shared" si="56"/>
        <v>Olivia Wilson</v>
      </c>
      <c r="D507" s="7" t="str">
        <f t="shared" si="57"/>
        <v xml:space="preserve"> Olivia Wilson </v>
      </c>
      <c r="E507">
        <v>36</v>
      </c>
      <c r="F507" s="7">
        <f t="shared" si="58"/>
        <v>36</v>
      </c>
      <c r="G507" t="s">
        <v>67</v>
      </c>
      <c r="H507" s="7" t="str">
        <f t="shared" si="59"/>
        <v>Sweden</v>
      </c>
      <c r="I507" t="s">
        <v>529</v>
      </c>
      <c r="J507" s="7" t="str">
        <f>TEXT(
  IFERROR(
    DATEVALUE(SUBSTITUTE(SUBSTITUTE(TRIM(I507),"T"," "),"Z","")),
    IFERROR(
      DATE(
        RIGHT(TRIM(I507),4),
        MID(TRIM(I507),4,2),
        LEFT(TRIM(I507),2)
      ),
      DATE(
        VALUE(RIGHT(TRIM(I507),4)),
        MATCH(LEFT(TRIM(I507),FIND(" ",TRIM(I507))-1),
          {"January","February","March","April","May","June","July","August","September","October","November","December"},0),
        VALUE(MID(TRIM(I507),
          FIND(" ",TRIM(I507))+1,
          FIND(" ",TRIM(I507),FIND(" ",TRIM(I507))+1)-FIND(" ",TRIM(I507))-1))
      )
    )
  ),
"yyyy-mm-dd")</f>
        <v>2023-05-20</v>
      </c>
      <c r="K507" s="5" t="str">
        <f t="shared" si="60"/>
        <v>May</v>
      </c>
      <c r="L507">
        <v>1702417459</v>
      </c>
      <c r="M507" s="11">
        <f t="shared" si="61"/>
        <v>45272.905775462961</v>
      </c>
      <c r="N507">
        <v>998.08</v>
      </c>
      <c r="O507" s="7">
        <f t="shared" si="62"/>
        <v>998.08</v>
      </c>
      <c r="P507" t="s">
        <v>27</v>
      </c>
      <c r="Q507" s="7" t="str">
        <f t="shared" si="63"/>
        <v xml:space="preserve">Holiday signup </v>
      </c>
    </row>
    <row r="508" spans="1:17">
      <c r="A508">
        <v>1009</v>
      </c>
      <c r="B508" t="s">
        <v>80</v>
      </c>
      <c r="C508" s="9" t="str">
        <f t="shared" si="56"/>
        <v>Ahmed Hassan</v>
      </c>
      <c r="D508" s="7" t="str">
        <f t="shared" si="57"/>
        <v>Ahmed Hassan</v>
      </c>
      <c r="E508">
        <v>29</v>
      </c>
      <c r="F508" s="7">
        <f t="shared" si="58"/>
        <v>29</v>
      </c>
      <c r="G508" t="s">
        <v>38</v>
      </c>
      <c r="H508" s="7" t="str">
        <f t="shared" si="59"/>
        <v>Spain</v>
      </c>
      <c r="I508" t="s">
        <v>530</v>
      </c>
      <c r="J508" s="7" t="str">
        <f>TEXT(
  IFERROR(
    DATEVALUE(SUBSTITUTE(SUBSTITUTE(TRIM(I508),"T"," "),"Z","")),
    IFERROR(
      DATE(
        RIGHT(TRIM(I508),4),
        MID(TRIM(I508),4,2),
        LEFT(TRIM(I508),2)
      ),
      DATE(
        VALUE(RIGHT(TRIM(I508),4)),
        MATCH(LEFT(TRIM(I508),FIND(" ",TRIM(I508))-1),
          {"January","February","March","April","May","June","July","August","September","October","November","December"},0),
        VALUE(MID(TRIM(I508),
          FIND(" ",TRIM(I508))+1,
          FIND(" ",TRIM(I508),FIND(" ",TRIM(I508))+1)-FIND(" ",TRIM(I508))-1))
      )
    )
  ),
"yyyy-mm-dd")</f>
        <v>2023-09-13</v>
      </c>
      <c r="K508" s="5" t="str">
        <f t="shared" si="60"/>
        <v>Sep</v>
      </c>
      <c r="L508">
        <v>1702299119</v>
      </c>
      <c r="M508" s="11">
        <f t="shared" si="61"/>
        <v>45271.536099537036</v>
      </c>
      <c r="O508" s="7">
        <f t="shared" si="62"/>
        <v>0</v>
      </c>
      <c r="P508" t="s">
        <v>52</v>
      </c>
      <c r="Q508" s="7" t="str">
        <f t="shared" si="63"/>
        <v xml:space="preserve">Prefers email </v>
      </c>
    </row>
    <row r="509" spans="1:17">
      <c r="A509">
        <v>1552</v>
      </c>
      <c r="B509" t="s">
        <v>183</v>
      </c>
      <c r="C509" s="9" t="str">
        <f t="shared" si="56"/>
        <v>Mia Thompson</v>
      </c>
      <c r="D509" s="7" t="str">
        <f t="shared" si="57"/>
        <v>Mia Thompson</v>
      </c>
      <c r="E509">
        <v>20</v>
      </c>
      <c r="F509" s="7">
        <f t="shared" si="58"/>
        <v>20</v>
      </c>
      <c r="G509" t="s">
        <v>111</v>
      </c>
      <c r="H509" s="7" t="str">
        <f t="shared" si="59"/>
        <v>South Korea</v>
      </c>
      <c r="I509" t="s">
        <v>531</v>
      </c>
      <c r="J509" s="7" t="str">
        <f>TEXT(
  IFERROR(
    DATEVALUE(SUBSTITUTE(SUBSTITUTE(TRIM(I509),"T"," "),"Z","")),
    IFERROR(
      DATE(
        RIGHT(TRIM(I509),4),
        MID(TRIM(I509),4,2),
        LEFT(TRIM(I509),2)
      ),
      DATE(
        VALUE(RIGHT(TRIM(I509),4)),
        MATCH(LEFT(TRIM(I509),FIND(" ",TRIM(I509))-1),
          {"January","February","March","April","May","June","July","August","September","October","November","December"},0),
        VALUE(MID(TRIM(I509),
          FIND(" ",TRIM(I509))+1,
          FIND(" ",TRIM(I509),FIND(" ",TRIM(I509))+1)-FIND(" ",TRIM(I509))-1))
      )
    )
  ),
"yyyy-mm-dd")</f>
        <v>2023-06-16</v>
      </c>
      <c r="K509" s="5" t="str">
        <f t="shared" si="60"/>
        <v>Jun</v>
      </c>
      <c r="L509">
        <v>1676863265</v>
      </c>
      <c r="M509" s="11">
        <f t="shared" si="61"/>
        <v>44977.139641203699</v>
      </c>
      <c r="N509">
        <v>324.94</v>
      </c>
      <c r="O509" s="7">
        <f t="shared" si="62"/>
        <v>324.94</v>
      </c>
      <c r="P509" t="s">
        <v>58</v>
      </c>
      <c r="Q509" s="7" t="str">
        <f t="shared" si="63"/>
        <v>Student account</v>
      </c>
    </row>
    <row r="510" spans="1:17">
      <c r="A510">
        <v>1662</v>
      </c>
      <c r="B510" t="s">
        <v>28</v>
      </c>
      <c r="C510" s="9" t="str">
        <f t="shared" si="56"/>
        <v>Maria Lopez</v>
      </c>
      <c r="D510" s="7" t="str">
        <f t="shared" si="57"/>
        <v>Maria Lopez</v>
      </c>
      <c r="F510" s="7">
        <f t="shared" si="58"/>
        <v>43</v>
      </c>
      <c r="G510" t="s">
        <v>29</v>
      </c>
      <c r="H510" s="7" t="str">
        <f t="shared" si="59"/>
        <v>United States</v>
      </c>
      <c r="I510" t="s">
        <v>532</v>
      </c>
      <c r="J510" s="7" t="str">
        <f>TEXT(
  IFERROR(
    DATEVALUE(SUBSTITUTE(SUBSTITUTE(TRIM(I510),"T"," "),"Z","")),
    IFERROR(
      DATE(
        RIGHT(TRIM(I510),4),
        MID(TRIM(I510),4,2),
        LEFT(TRIM(I510),2)
      ),
      DATE(
        VALUE(RIGHT(TRIM(I510),4)),
        MATCH(LEFT(TRIM(I510),FIND(" ",TRIM(I510))-1),
          {"January","February","March","April","May","June","July","August","September","October","November","December"},0),
        VALUE(MID(TRIM(I510),
          FIND(" ",TRIM(I510))+1,
          FIND(" ",TRIM(I510),FIND(" ",TRIM(I510))+1)-FIND(" ",TRIM(I510))-1))
      )
    )
  ),
"yyyy-mm-dd")</f>
        <v>2023-07-24</v>
      </c>
      <c r="K510" s="5" t="str">
        <f t="shared" si="60"/>
        <v>Jul</v>
      </c>
      <c r="L510">
        <v>1678497051</v>
      </c>
      <c r="M510" s="11">
        <f t="shared" si="61"/>
        <v>44996.049201388887</v>
      </c>
      <c r="O510" s="7">
        <f t="shared" si="62"/>
        <v>0</v>
      </c>
      <c r="P510" t="s">
        <v>52</v>
      </c>
      <c r="Q510" s="7" t="str">
        <f t="shared" si="63"/>
        <v xml:space="preserve">Prefers email </v>
      </c>
    </row>
    <row r="511" spans="1:17">
      <c r="A511">
        <v>1269</v>
      </c>
      <c r="B511" t="s">
        <v>90</v>
      </c>
      <c r="C511" s="9" t="str">
        <f t="shared" si="56"/>
        <v>Olivia Wilson</v>
      </c>
      <c r="D511" s="7" t="str">
        <f t="shared" si="57"/>
        <v>Olivia Wilson</v>
      </c>
      <c r="E511">
        <v>41</v>
      </c>
      <c r="F511" s="7">
        <f t="shared" si="58"/>
        <v>41</v>
      </c>
      <c r="G511" t="s">
        <v>60</v>
      </c>
      <c r="H511" s="7" t="str">
        <f t="shared" si="59"/>
        <v>Egypt</v>
      </c>
      <c r="I511" t="s">
        <v>533</v>
      </c>
      <c r="J511" s="7" t="str">
        <f>TEXT(
  IFERROR(
    DATEVALUE(SUBSTITUTE(SUBSTITUTE(TRIM(I511),"T"," "),"Z","")),
    IFERROR(
      DATE(
        RIGHT(TRIM(I511),4),
        MID(TRIM(I511),4,2),
        LEFT(TRIM(I511),2)
      ),
      DATE(
        VALUE(RIGHT(TRIM(I511),4)),
        MATCH(LEFT(TRIM(I511),FIND(" ",TRIM(I511))-1),
          {"January","February","March","April","May","June","July","August","September","October","November","December"},0),
        VALUE(MID(TRIM(I511),
          FIND(" ",TRIM(I511))+1,
          FIND(" ",TRIM(I511),FIND(" ",TRIM(I511))+1)-FIND(" ",TRIM(I511))-1))
      )
    )
  ),
"yyyy-mm-dd")</f>
        <v>2023-08-17</v>
      </c>
      <c r="K511" s="5" t="str">
        <f t="shared" si="60"/>
        <v>Aug</v>
      </c>
      <c r="L511">
        <v>1688510663</v>
      </c>
      <c r="M511" s="11">
        <f t="shared" si="61"/>
        <v>45111.947488425925</v>
      </c>
      <c r="O511" s="7">
        <f t="shared" si="62"/>
        <v>0</v>
      </c>
      <c r="P511" t="s">
        <v>52</v>
      </c>
      <c r="Q511" s="7" t="str">
        <f t="shared" si="63"/>
        <v xml:space="preserve">Prefers email </v>
      </c>
    </row>
    <row r="512" spans="1:17">
      <c r="A512">
        <v>1866</v>
      </c>
      <c r="B512" t="s">
        <v>90</v>
      </c>
      <c r="C512" s="9" t="str">
        <f t="shared" si="56"/>
        <v>Olivia Wilson</v>
      </c>
      <c r="D512" s="7" t="str">
        <f t="shared" si="57"/>
        <v>Olivia Wilson</v>
      </c>
      <c r="F512" s="7">
        <f t="shared" si="58"/>
        <v>43</v>
      </c>
      <c r="G512" t="s">
        <v>29</v>
      </c>
      <c r="H512" s="7" t="str">
        <f t="shared" si="59"/>
        <v>United States</v>
      </c>
      <c r="I512" t="s">
        <v>534</v>
      </c>
      <c r="J512" s="7" t="str">
        <f>TEXT(
  IFERROR(
    DATEVALUE(SUBSTITUTE(SUBSTITUTE(TRIM(I512),"T"," "),"Z","")),
    IFERROR(
      DATE(
        RIGHT(TRIM(I512),4),
        MID(TRIM(I512),4,2),
        LEFT(TRIM(I512),2)
      ),
      DATE(
        VALUE(RIGHT(TRIM(I512),4)),
        MATCH(LEFT(TRIM(I512),FIND(" ",TRIM(I512))-1),
          {"January","February","March","April","May","June","July","August","September","October","November","December"},0),
        VALUE(MID(TRIM(I512),
          FIND(" ",TRIM(I512))+1,
          FIND(" ",TRIM(I512),FIND(" ",TRIM(I512))+1)-FIND(" ",TRIM(I512))-1))
      )
    )
  ),
"yyyy-mm-dd")</f>
        <v>2023-01-21</v>
      </c>
      <c r="K512" s="5" t="str">
        <f t="shared" si="60"/>
        <v>Jan</v>
      </c>
      <c r="L512">
        <v>1683991054</v>
      </c>
      <c r="M512" s="11">
        <f t="shared" si="61"/>
        <v>45059.637199074074</v>
      </c>
      <c r="N512">
        <v>1460.17</v>
      </c>
      <c r="O512" s="7">
        <f t="shared" si="62"/>
        <v>1460.17</v>
      </c>
      <c r="P512" t="s">
        <v>33</v>
      </c>
      <c r="Q512" s="7" t="str">
        <f t="shared" si="63"/>
        <v>Frequent buyer n</v>
      </c>
    </row>
    <row r="513" spans="1:17">
      <c r="A513">
        <v>1262</v>
      </c>
      <c r="B513" t="s">
        <v>101</v>
      </c>
      <c r="C513" s="9" t="str">
        <f t="shared" si="56"/>
        <v>Zoë Kravitz</v>
      </c>
      <c r="D513" s="7" t="str">
        <f t="shared" si="57"/>
        <v>Zoë Kravitz</v>
      </c>
      <c r="F513" s="7">
        <f t="shared" si="58"/>
        <v>43</v>
      </c>
      <c r="G513" t="s">
        <v>102</v>
      </c>
      <c r="H513" s="7" t="str">
        <f t="shared" si="59"/>
        <v>Mexico</v>
      </c>
      <c r="I513" t="s">
        <v>535</v>
      </c>
      <c r="J513" s="7" t="str">
        <f>TEXT(
  IFERROR(
    DATEVALUE(SUBSTITUTE(SUBSTITUTE(TRIM(I513),"T"," "),"Z","")),
    IFERROR(
      DATE(
        RIGHT(TRIM(I513),4),
        MID(TRIM(I513),4,2),
        LEFT(TRIM(I513),2)
      ),
      DATE(
        VALUE(RIGHT(TRIM(I513),4)),
        MATCH(LEFT(TRIM(I513),FIND(" ",TRIM(I513))-1),
          {"January","February","March","April","May","June","July","August","September","October","November","December"},0),
        VALUE(MID(TRIM(I513),
          FIND(" ",TRIM(I513))+1,
          FIND(" ",TRIM(I513),FIND(" ",TRIM(I513))+1)-FIND(" ",TRIM(I513))-1))
      )
    )
  ),
"yyyy-mm-dd")</f>
        <v>2023-10-19</v>
      </c>
      <c r="K513" s="5" t="str">
        <f t="shared" si="60"/>
        <v>Oct</v>
      </c>
      <c r="L513">
        <v>1691012301</v>
      </c>
      <c r="M513" s="11">
        <f t="shared" si="61"/>
        <v>45140.901631944449</v>
      </c>
      <c r="N513">
        <v>124.03</v>
      </c>
      <c r="O513" s="7">
        <f t="shared" si="62"/>
        <v>124.03</v>
      </c>
      <c r="P513" t="s">
        <v>46</v>
      </c>
      <c r="Q513" s="7" t="str">
        <f t="shared" si="63"/>
        <v>Corporate account</v>
      </c>
    </row>
    <row r="514" spans="1:17">
      <c r="A514">
        <v>1037</v>
      </c>
      <c r="B514" t="s">
        <v>17</v>
      </c>
      <c r="C514" s="9" t="str">
        <f t="shared" si="56"/>
        <v>John Smith</v>
      </c>
      <c r="D514" s="7" t="str">
        <f t="shared" si="57"/>
        <v>John Smith</v>
      </c>
      <c r="E514">
        <v>28</v>
      </c>
      <c r="F514" s="7">
        <f t="shared" si="58"/>
        <v>28</v>
      </c>
      <c r="G514" t="s">
        <v>60</v>
      </c>
      <c r="H514" s="7" t="str">
        <f t="shared" si="59"/>
        <v>Egypt</v>
      </c>
      <c r="I514" t="s">
        <v>536</v>
      </c>
      <c r="J514" s="7" t="str">
        <f>TEXT(
  IFERROR(
    DATEVALUE(SUBSTITUTE(SUBSTITUTE(TRIM(I514),"T"," "),"Z","")),
    IFERROR(
      DATE(
        RIGHT(TRIM(I514),4),
        MID(TRIM(I514),4,2),
        LEFT(TRIM(I514),2)
      ),
      DATE(
        VALUE(RIGHT(TRIM(I514),4)),
        MATCH(LEFT(TRIM(I514),FIND(" ",TRIM(I514))-1),
          {"January","February","March","April","May","June","July","August","September","October","November","December"},0),
        VALUE(MID(TRIM(I514),
          FIND(" ",TRIM(I514))+1,
          FIND(" ",TRIM(I514),FIND(" ",TRIM(I514))+1)-FIND(" ",TRIM(I514))-1))
      )
    )
  ),
"yyyy-mm-dd")</f>
        <v>2023-08-24</v>
      </c>
      <c r="K514" s="5" t="str">
        <f t="shared" si="60"/>
        <v>Aug</v>
      </c>
      <c r="L514">
        <v>1701675436</v>
      </c>
      <c r="M514" s="11">
        <f t="shared" si="61"/>
        <v>45264.317546296297</v>
      </c>
      <c r="O514" s="7">
        <f t="shared" si="62"/>
        <v>0</v>
      </c>
      <c r="P514" t="s">
        <v>58</v>
      </c>
      <c r="Q514" s="7" t="str">
        <f t="shared" si="63"/>
        <v>Student account</v>
      </c>
    </row>
    <row r="515" spans="1:17">
      <c r="A515">
        <v>1604</v>
      </c>
      <c r="B515" t="s">
        <v>166</v>
      </c>
      <c r="C515" s="9" t="str">
        <f t="shared" ref="C515:C578" si="64">TRIM(B515)</f>
        <v>Daniel Kim</v>
      </c>
      <c r="D515" s="7" t="str">
        <f t="shared" ref="D515:D578" si="65">PROPER(B515)</f>
        <v>Daniel Kim</v>
      </c>
      <c r="F515" s="7">
        <f t="shared" ref="F515:F578" si="66">IF(OR(E515="", ISBLANK(E515)), MEDIAN($E$2:$E$1501), E515)</f>
        <v>43</v>
      </c>
      <c r="G515" t="s">
        <v>29</v>
      </c>
      <c r="H515" s="7" t="str">
        <f t="shared" ref="H515:H578" si="67">TRIM(G515)</f>
        <v>United States</v>
      </c>
      <c r="I515" t="s">
        <v>368</v>
      </c>
      <c r="J515" s="7" t="str">
        <f>TEXT(
  IFERROR(
    DATEVALUE(SUBSTITUTE(SUBSTITUTE(TRIM(I515),"T"," "),"Z","")),
    IFERROR(
      DATE(
        RIGHT(TRIM(I515),4),
        MID(TRIM(I515),4,2),
        LEFT(TRIM(I515),2)
      ),
      DATE(
        VALUE(RIGHT(TRIM(I515),4)),
        MATCH(LEFT(TRIM(I515),FIND(" ",TRIM(I515))-1),
          {"January","February","March","April","May","June","July","August","September","October","November","December"},0),
        VALUE(MID(TRIM(I515),
          FIND(" ",TRIM(I515))+1,
          FIND(" ",TRIM(I515),FIND(" ",TRIM(I515))+1)-FIND(" ",TRIM(I515))-1))
      )
    )
  ),
"yyyy-mm-dd")</f>
        <v>2023-02-22</v>
      </c>
      <c r="K515" s="5" t="str">
        <f t="shared" ref="K515:K578" si="68">TEXT(J515,"mmm")</f>
        <v>Feb</v>
      </c>
      <c r="L515">
        <v>1686472104</v>
      </c>
      <c r="M515" s="11">
        <f t="shared" ref="M515:M578" si="69">((L515)/86400)+DATE(1970,1,1)</f>
        <v>45088.353055555555</v>
      </c>
      <c r="O515" s="7">
        <f t="shared" ref="O515:O578" si="70">IF(N515="", 0, N515)</f>
        <v>0</v>
      </c>
      <c r="P515" t="s">
        <v>20</v>
      </c>
      <c r="Q515" s="7" t="str">
        <f t="shared" ref="Q515:Q578" si="71">SUBSTITUTE(SUBSTITUTE(SUBSTITUTE(P515,"$",""),"%",""),"ñ","n")</f>
        <v xml:space="preserve">Great customer </v>
      </c>
    </row>
    <row r="516" spans="1:17">
      <c r="A516">
        <v>1999</v>
      </c>
      <c r="B516" t="s">
        <v>126</v>
      </c>
      <c r="C516" s="9" t="str">
        <f t="shared" si="64"/>
        <v>Noah Martin</v>
      </c>
      <c r="D516" s="7" t="str">
        <f t="shared" si="65"/>
        <v>Noah Martin</v>
      </c>
      <c r="E516">
        <v>64</v>
      </c>
      <c r="F516" s="7">
        <f t="shared" si="66"/>
        <v>64</v>
      </c>
      <c r="G516" t="s">
        <v>60</v>
      </c>
      <c r="H516" s="7" t="str">
        <f t="shared" si="67"/>
        <v>Egypt</v>
      </c>
      <c r="I516" t="s">
        <v>135</v>
      </c>
      <c r="J516" s="7" t="str">
        <f>TEXT(
  IFERROR(
    DATEVALUE(SUBSTITUTE(SUBSTITUTE(TRIM(I516),"T"," "),"Z","")),
    IFERROR(
      DATE(
        RIGHT(TRIM(I516),4),
        MID(TRIM(I516),4,2),
        LEFT(TRIM(I516),2)
      ),
      DATE(
        VALUE(RIGHT(TRIM(I516),4)),
        MATCH(LEFT(TRIM(I516),FIND(" ",TRIM(I516))-1),
          {"January","February","March","April","May","June","July","August","September","October","November","December"},0),
        VALUE(MID(TRIM(I516),
          FIND(" ",TRIM(I516))+1,
          FIND(" ",TRIM(I516),FIND(" ",TRIM(I516))+1)-FIND(" ",TRIM(I516))-1))
      )
    )
  ),
"yyyy-mm-dd")</f>
        <v>2023-04-29</v>
      </c>
      <c r="K516" s="5" t="str">
        <f t="shared" si="68"/>
        <v>Apr</v>
      </c>
      <c r="L516">
        <v>1690251102</v>
      </c>
      <c r="M516" s="11">
        <f t="shared" si="69"/>
        <v>45132.091458333336</v>
      </c>
      <c r="O516" s="7">
        <f t="shared" si="70"/>
        <v>0</v>
      </c>
      <c r="P516" t="s">
        <v>46</v>
      </c>
      <c r="Q516" s="7" t="str">
        <f t="shared" si="71"/>
        <v>Corporate account</v>
      </c>
    </row>
    <row r="517" spans="1:17">
      <c r="A517">
        <v>1131</v>
      </c>
      <c r="B517" t="s">
        <v>37</v>
      </c>
      <c r="C517" s="9" t="str">
        <f t="shared" si="64"/>
        <v>Akira Tanaka</v>
      </c>
      <c r="D517" s="7" t="str">
        <f t="shared" si="65"/>
        <v>Akira Tanaka</v>
      </c>
      <c r="E517">
        <v>44</v>
      </c>
      <c r="F517" s="7">
        <f t="shared" si="66"/>
        <v>44</v>
      </c>
      <c r="G517" t="s">
        <v>60</v>
      </c>
      <c r="H517" s="7" t="str">
        <f t="shared" si="67"/>
        <v>Egypt</v>
      </c>
      <c r="I517" t="s">
        <v>537</v>
      </c>
      <c r="J517" s="7" t="str">
        <f>TEXT(
  IFERROR(
    DATEVALUE(SUBSTITUTE(SUBSTITUTE(TRIM(I517),"T"," "),"Z","")),
    IFERROR(
      DATE(
        RIGHT(TRIM(I517),4),
        MID(TRIM(I517),4,2),
        LEFT(TRIM(I517),2)
      ),
      DATE(
        VALUE(RIGHT(TRIM(I517),4)),
        MATCH(LEFT(TRIM(I517),FIND(" ",TRIM(I517))-1),
          {"January","February","March","April","May","June","July","August","September","October","November","December"},0),
        VALUE(MID(TRIM(I517),
          FIND(" ",TRIM(I517))+1,
          FIND(" ",TRIM(I517),FIND(" ",TRIM(I517))+1)-FIND(" ",TRIM(I517))-1))
      )
    )
  ),
"yyyy-mm-dd")</f>
        <v>2023-11-15</v>
      </c>
      <c r="K517" s="5" t="str">
        <f t="shared" si="68"/>
        <v>Nov</v>
      </c>
      <c r="L517">
        <v>1687567303</v>
      </c>
      <c r="M517" s="11">
        <f t="shared" si="69"/>
        <v>45101.028969907406</v>
      </c>
      <c r="N517">
        <v>1049.3</v>
      </c>
      <c r="O517" s="7">
        <f t="shared" si="70"/>
        <v>1049.3</v>
      </c>
      <c r="P517" t="s">
        <v>33</v>
      </c>
      <c r="Q517" s="7" t="str">
        <f t="shared" si="71"/>
        <v>Frequent buyer n</v>
      </c>
    </row>
    <row r="518" spans="1:17">
      <c r="A518">
        <v>1601</v>
      </c>
      <c r="B518" t="s">
        <v>88</v>
      </c>
      <c r="C518" s="9" t="str">
        <f t="shared" si="64"/>
        <v>André Santos</v>
      </c>
      <c r="D518" s="7" t="str">
        <f t="shared" si="65"/>
        <v>André Santos</v>
      </c>
      <c r="E518">
        <v>61</v>
      </c>
      <c r="F518" s="7">
        <f t="shared" si="66"/>
        <v>61</v>
      </c>
      <c r="G518" t="s">
        <v>122</v>
      </c>
      <c r="H518" s="7" t="str">
        <f t="shared" si="67"/>
        <v>Italy</v>
      </c>
      <c r="I518" t="s">
        <v>538</v>
      </c>
      <c r="J518" s="7" t="str">
        <f>TEXT(
  IFERROR(
    DATEVALUE(SUBSTITUTE(SUBSTITUTE(TRIM(I518),"T"," "),"Z","")),
    IFERROR(
      DATE(
        RIGHT(TRIM(I518),4),
        MID(TRIM(I518),4,2),
        LEFT(TRIM(I518),2)
      ),
      DATE(
        VALUE(RIGHT(TRIM(I518),4)),
        MATCH(LEFT(TRIM(I518),FIND(" ",TRIM(I518))-1),
          {"January","February","March","April","May","June","July","August","September","October","November","December"},0),
        VALUE(MID(TRIM(I518),
          FIND(" ",TRIM(I518))+1,
          FIND(" ",TRIM(I518),FIND(" ",TRIM(I518))+1)-FIND(" ",TRIM(I518))-1))
      )
    )
  ),
"yyyy-mm-dd")</f>
        <v>2023-08-30</v>
      </c>
      <c r="K518" s="5" t="str">
        <f t="shared" si="68"/>
        <v>Aug</v>
      </c>
      <c r="L518">
        <v>1693389567</v>
      </c>
      <c r="M518" s="11">
        <f t="shared" si="69"/>
        <v>45168.416284722218</v>
      </c>
      <c r="N518">
        <v>318.74</v>
      </c>
      <c r="O518" s="7">
        <f t="shared" si="70"/>
        <v>318.74</v>
      </c>
      <c r="P518" t="s">
        <v>36</v>
      </c>
      <c r="Q518" s="7" t="str">
        <f t="shared" si="71"/>
        <v>Regular shopper</v>
      </c>
    </row>
    <row r="519" spans="1:17">
      <c r="A519">
        <v>1265</v>
      </c>
      <c r="B519" t="s">
        <v>120</v>
      </c>
      <c r="C519" s="9" t="str">
        <f t="shared" si="64"/>
        <v>Sarah Johnson</v>
      </c>
      <c r="D519" s="7" t="str">
        <f t="shared" si="65"/>
        <v xml:space="preserve"> Sarah Johnson </v>
      </c>
      <c r="E519">
        <v>56</v>
      </c>
      <c r="F519" s="7">
        <f t="shared" si="66"/>
        <v>56</v>
      </c>
      <c r="G519" t="s">
        <v>44</v>
      </c>
      <c r="H519" s="7" t="str">
        <f t="shared" si="67"/>
        <v>UAE</v>
      </c>
      <c r="I519" t="s">
        <v>539</v>
      </c>
      <c r="J519" s="7" t="str">
        <f>TEXT(
  IFERROR(
    DATEVALUE(SUBSTITUTE(SUBSTITUTE(TRIM(I519),"T"," "),"Z","")),
    IFERROR(
      DATE(
        RIGHT(TRIM(I519),4),
        MID(TRIM(I519),4,2),
        LEFT(TRIM(I519),2)
      ),
      DATE(
        VALUE(RIGHT(TRIM(I519),4)),
        MATCH(LEFT(TRIM(I519),FIND(" ",TRIM(I519))-1),
          {"January","February","March","April","May","June","July","August","September","October","November","December"},0),
        VALUE(MID(TRIM(I519),
          FIND(" ",TRIM(I519))+1,
          FIND(" ",TRIM(I519),FIND(" ",TRIM(I519))+1)-FIND(" ",TRIM(I519))-1))
      )
    )
  ),
"yyyy-mm-dd")</f>
        <v>2023-10-09</v>
      </c>
      <c r="K519" s="5" t="str">
        <f t="shared" si="68"/>
        <v>Oct</v>
      </c>
      <c r="L519">
        <v>1680399859</v>
      </c>
      <c r="M519" s="11">
        <f t="shared" si="69"/>
        <v>45018.072442129633</v>
      </c>
      <c r="N519">
        <v>322.06</v>
      </c>
      <c r="O519" s="7">
        <f t="shared" si="70"/>
        <v>322.06</v>
      </c>
      <c r="P519" t="s">
        <v>20</v>
      </c>
      <c r="Q519" s="7" t="str">
        <f t="shared" si="71"/>
        <v xml:space="preserve">Great customer </v>
      </c>
    </row>
    <row r="520" spans="1:17">
      <c r="A520">
        <v>2151</v>
      </c>
      <c r="B520" t="s">
        <v>72</v>
      </c>
      <c r="C520" s="9" t="str">
        <f t="shared" si="64"/>
        <v>Emily Davis</v>
      </c>
      <c r="D520" s="7" t="str">
        <f t="shared" si="65"/>
        <v>Emily Davis</v>
      </c>
      <c r="E520">
        <v>39</v>
      </c>
      <c r="F520" s="7">
        <f t="shared" si="66"/>
        <v>39</v>
      </c>
      <c r="G520" t="s">
        <v>62</v>
      </c>
      <c r="H520" s="7" t="str">
        <f t="shared" si="67"/>
        <v>Ireland</v>
      </c>
      <c r="I520" t="s">
        <v>95</v>
      </c>
      <c r="J520" s="7" t="str">
        <f>TEXT(
  IFERROR(
    DATEVALUE(SUBSTITUTE(SUBSTITUTE(TRIM(I520),"T"," "),"Z","")),
    IFERROR(
      DATE(
        RIGHT(TRIM(I520),4),
        MID(TRIM(I520),4,2),
        LEFT(TRIM(I520),2)
      ),
      DATE(
        VALUE(RIGHT(TRIM(I520),4)),
        MATCH(LEFT(TRIM(I520),FIND(" ",TRIM(I520))-1),
          {"January","February","March","April","May","June","July","August","September","October","November","December"},0),
        VALUE(MID(TRIM(I520),
          FIND(" ",TRIM(I520))+1,
          FIND(" ",TRIM(I520),FIND(" ",TRIM(I520))+1)-FIND(" ",TRIM(I520))-1))
      )
    )
  ),
"yyyy-mm-dd")</f>
        <v>2023-05-17</v>
      </c>
      <c r="K520" s="5" t="str">
        <f t="shared" si="68"/>
        <v>May</v>
      </c>
      <c r="L520">
        <v>1701159625</v>
      </c>
      <c r="M520" s="11">
        <f t="shared" si="69"/>
        <v>45258.347511574073</v>
      </c>
      <c r="N520">
        <v>1038.3</v>
      </c>
      <c r="O520" s="7">
        <f t="shared" si="70"/>
        <v>1038.3</v>
      </c>
      <c r="P520" t="s">
        <v>20</v>
      </c>
      <c r="Q520" s="7" t="str">
        <f t="shared" si="71"/>
        <v xml:space="preserve">Great customer </v>
      </c>
    </row>
    <row r="521" spans="1:17">
      <c r="A521">
        <v>1897</v>
      </c>
      <c r="B521" t="s">
        <v>210</v>
      </c>
      <c r="C521" s="9" t="str">
        <f t="shared" si="64"/>
        <v>Ethan Clark</v>
      </c>
      <c r="D521" s="7" t="str">
        <f t="shared" si="65"/>
        <v>Ethan Clark</v>
      </c>
      <c r="E521">
        <v>24</v>
      </c>
      <c r="F521" s="7">
        <f t="shared" si="66"/>
        <v>24</v>
      </c>
      <c r="G521" t="s">
        <v>18</v>
      </c>
      <c r="H521" s="7" t="str">
        <f t="shared" si="67"/>
        <v>United Kingdom</v>
      </c>
      <c r="I521" t="s">
        <v>225</v>
      </c>
      <c r="J521" s="7" t="str">
        <f>TEXT(
  IFERROR(
    DATEVALUE(SUBSTITUTE(SUBSTITUTE(TRIM(I521),"T"," "),"Z","")),
    IFERROR(
      DATE(
        RIGHT(TRIM(I521),4),
        MID(TRIM(I521),4,2),
        LEFT(TRIM(I521),2)
      ),
      DATE(
        VALUE(RIGHT(TRIM(I521),4)),
        MATCH(LEFT(TRIM(I521),FIND(" ",TRIM(I521))-1),
          {"January","February","March","April","May","June","July","August","September","October","November","December"},0),
        VALUE(MID(TRIM(I521),
          FIND(" ",TRIM(I521))+1,
          FIND(" ",TRIM(I521),FIND(" ",TRIM(I521))+1)-FIND(" ",TRIM(I521))-1))
      )
    )
  ),
"yyyy-mm-dd")</f>
        <v>2023-10-15</v>
      </c>
      <c r="K521" s="5" t="str">
        <f t="shared" si="68"/>
        <v>Oct</v>
      </c>
      <c r="L521">
        <v>1689546355</v>
      </c>
      <c r="M521" s="11">
        <f t="shared" si="69"/>
        <v>45123.934664351851</v>
      </c>
      <c r="N521">
        <v>167.06</v>
      </c>
      <c r="O521" s="7">
        <f t="shared" si="70"/>
        <v>167.06</v>
      </c>
      <c r="P521" t="s">
        <v>40</v>
      </c>
      <c r="Q521" s="7" t="str">
        <f t="shared" si="71"/>
        <v xml:space="preserve">VIP client </v>
      </c>
    </row>
    <row r="522" spans="1:17">
      <c r="A522">
        <v>1126</v>
      </c>
      <c r="B522" t="s">
        <v>126</v>
      </c>
      <c r="C522" s="9" t="str">
        <f t="shared" si="64"/>
        <v>Noah Martin</v>
      </c>
      <c r="D522" s="7" t="str">
        <f t="shared" si="65"/>
        <v>Noah Martin</v>
      </c>
      <c r="E522">
        <v>60</v>
      </c>
      <c r="F522" s="7">
        <f t="shared" si="66"/>
        <v>60</v>
      </c>
      <c r="G522" t="s">
        <v>29</v>
      </c>
      <c r="H522" s="7" t="str">
        <f t="shared" si="67"/>
        <v>United States</v>
      </c>
      <c r="I522" t="s">
        <v>488</v>
      </c>
      <c r="J522" s="7" t="str">
        <f>TEXT(
  IFERROR(
    DATEVALUE(SUBSTITUTE(SUBSTITUTE(TRIM(I522),"T"," "),"Z","")),
    IFERROR(
      DATE(
        RIGHT(TRIM(I522),4),
        MID(TRIM(I522),4,2),
        LEFT(TRIM(I522),2)
      ),
      DATE(
        VALUE(RIGHT(TRIM(I522),4)),
        MATCH(LEFT(TRIM(I522),FIND(" ",TRIM(I522))-1),
          {"January","February","March","April","May","June","July","August","September","October","November","December"},0),
        VALUE(MID(TRIM(I522),
          FIND(" ",TRIM(I522))+1,
          FIND(" ",TRIM(I522),FIND(" ",TRIM(I522))+1)-FIND(" ",TRIM(I522))-1))
      )
    )
  ),
"yyyy-mm-dd")</f>
        <v>2023-11-20</v>
      </c>
      <c r="K522" s="5" t="str">
        <f t="shared" si="68"/>
        <v>Nov</v>
      </c>
      <c r="L522">
        <v>1682446865</v>
      </c>
      <c r="M522" s="11">
        <f t="shared" si="69"/>
        <v>45041.764641203699</v>
      </c>
      <c r="O522" s="7">
        <f t="shared" si="70"/>
        <v>0</v>
      </c>
      <c r="P522" t="s">
        <v>84</v>
      </c>
      <c r="Q522" s="7" t="str">
        <f t="shared" si="71"/>
        <v xml:space="preserve">Newsletter subscriber </v>
      </c>
    </row>
    <row r="523" spans="1:17">
      <c r="A523">
        <v>1829</v>
      </c>
      <c r="B523" t="s">
        <v>97</v>
      </c>
      <c r="C523" s="9" t="str">
        <f t="shared" si="64"/>
        <v>Björn Larsson</v>
      </c>
      <c r="D523" s="7" t="str">
        <f t="shared" si="65"/>
        <v xml:space="preserve"> Björn Larsson </v>
      </c>
      <c r="E523">
        <v>37</v>
      </c>
      <c r="F523" s="7">
        <f t="shared" si="66"/>
        <v>37</v>
      </c>
      <c r="G523" t="s">
        <v>62</v>
      </c>
      <c r="H523" s="7" t="str">
        <f t="shared" si="67"/>
        <v>Ireland</v>
      </c>
      <c r="I523" t="s">
        <v>540</v>
      </c>
      <c r="J523" s="7" t="str">
        <f>TEXT(
  IFERROR(
    DATEVALUE(SUBSTITUTE(SUBSTITUTE(TRIM(I523),"T"," "),"Z","")),
    IFERROR(
      DATE(
        RIGHT(TRIM(I523),4),
        MID(TRIM(I523),4,2),
        LEFT(TRIM(I523),2)
      ),
      DATE(
        VALUE(RIGHT(TRIM(I523),4)),
        MATCH(LEFT(TRIM(I523),FIND(" ",TRIM(I523))-1),
          {"January","February","March","April","May","June","July","August","September","October","November","December"},0),
        VALUE(MID(TRIM(I523),
          FIND(" ",TRIM(I523))+1,
          FIND(" ",TRIM(I523),FIND(" ",TRIM(I523))+1)-FIND(" ",TRIM(I523))-1))
      )
    )
  ),
"yyyy-mm-dd")</f>
        <v>2023-06-21</v>
      </c>
      <c r="K523" s="5" t="str">
        <f t="shared" si="68"/>
        <v>Jun</v>
      </c>
      <c r="L523">
        <v>1696854274</v>
      </c>
      <c r="M523" s="11">
        <f t="shared" si="69"/>
        <v>45208.517060185186</v>
      </c>
      <c r="N523">
        <v>1081.1300000000001</v>
      </c>
      <c r="O523" s="7">
        <f t="shared" si="70"/>
        <v>1081.1300000000001</v>
      </c>
      <c r="P523" t="s">
        <v>46</v>
      </c>
      <c r="Q523" s="7" t="str">
        <f t="shared" si="71"/>
        <v>Corporate account</v>
      </c>
    </row>
    <row r="524" spans="1:17">
      <c r="A524">
        <v>2108</v>
      </c>
      <c r="B524" t="s">
        <v>240</v>
      </c>
      <c r="C524" s="9" t="str">
        <f t="shared" si="64"/>
        <v>Fatima Ali</v>
      </c>
      <c r="D524" s="7" t="str">
        <f t="shared" si="65"/>
        <v xml:space="preserve"> Fatima Ali </v>
      </c>
      <c r="F524" s="7">
        <f t="shared" si="66"/>
        <v>43</v>
      </c>
      <c r="G524" t="s">
        <v>67</v>
      </c>
      <c r="H524" s="7" t="str">
        <f t="shared" si="67"/>
        <v>Sweden</v>
      </c>
      <c r="I524" t="s">
        <v>541</v>
      </c>
      <c r="J524" s="7" t="str">
        <f>TEXT(
  IFERROR(
    DATEVALUE(SUBSTITUTE(SUBSTITUTE(TRIM(I524),"T"," "),"Z","")),
    IFERROR(
      DATE(
        RIGHT(TRIM(I524),4),
        MID(TRIM(I524),4,2),
        LEFT(TRIM(I524),2)
      ),
      DATE(
        VALUE(RIGHT(TRIM(I524),4)),
        MATCH(LEFT(TRIM(I524),FIND(" ",TRIM(I524))-1),
          {"January","February","March","April","May","June","July","August","September","October","November","December"},0),
        VALUE(MID(TRIM(I524),
          FIND(" ",TRIM(I524))+1,
          FIND(" ",TRIM(I524),FIND(" ",TRIM(I524))+1)-FIND(" ",TRIM(I524))-1))
      )
    )
  ),
"yyyy-mm-dd")</f>
        <v>2023-06-24</v>
      </c>
      <c r="K524" s="5" t="str">
        <f t="shared" si="68"/>
        <v>Jun</v>
      </c>
      <c r="L524">
        <v>1673309903</v>
      </c>
      <c r="M524" s="11">
        <f t="shared" si="69"/>
        <v>44936.012766203705</v>
      </c>
      <c r="O524" s="7">
        <f t="shared" si="70"/>
        <v>0</v>
      </c>
      <c r="P524" t="s">
        <v>40</v>
      </c>
      <c r="Q524" s="7" t="str">
        <f t="shared" si="71"/>
        <v xml:space="preserve">VIP client </v>
      </c>
    </row>
    <row r="525" spans="1:17">
      <c r="A525">
        <v>1256</v>
      </c>
      <c r="B525" t="s">
        <v>64</v>
      </c>
      <c r="C525" s="9" t="str">
        <f t="shared" si="64"/>
        <v>Ethan Clark</v>
      </c>
      <c r="D525" s="7" t="str">
        <f t="shared" si="65"/>
        <v xml:space="preserve"> Ethan Clark </v>
      </c>
      <c r="F525" s="7">
        <f t="shared" si="66"/>
        <v>43</v>
      </c>
      <c r="G525" t="s">
        <v>25</v>
      </c>
      <c r="H525" s="7" t="str">
        <f t="shared" si="67"/>
        <v>Japan</v>
      </c>
      <c r="I525" t="s">
        <v>542</v>
      </c>
      <c r="J525" s="7" t="str">
        <f>TEXT(
  IFERROR(
    DATEVALUE(SUBSTITUTE(SUBSTITUTE(TRIM(I525),"T"," "),"Z","")),
    IFERROR(
      DATE(
        RIGHT(TRIM(I525),4),
        MID(TRIM(I525),4,2),
        LEFT(TRIM(I525),2)
      ),
      DATE(
        VALUE(RIGHT(TRIM(I525),4)),
        MATCH(LEFT(TRIM(I525),FIND(" ",TRIM(I525))-1),
          {"January","February","March","April","May","June","July","August","September","October","November","December"},0),
        VALUE(MID(TRIM(I525),
          FIND(" ",TRIM(I525))+1,
          FIND(" ",TRIM(I525),FIND(" ",TRIM(I525))+1)-FIND(" ",TRIM(I525))-1))
      )
    )
  ),
"yyyy-mm-dd")</f>
        <v>2023-05-01</v>
      </c>
      <c r="K525" s="5" t="str">
        <f t="shared" si="68"/>
        <v>May</v>
      </c>
      <c r="L525">
        <v>1691502293</v>
      </c>
      <c r="M525" s="11">
        <f t="shared" si="69"/>
        <v>45146.572835648149</v>
      </c>
      <c r="N525">
        <v>1074.82</v>
      </c>
      <c r="O525" s="7">
        <f t="shared" si="70"/>
        <v>1074.82</v>
      </c>
      <c r="P525" t="s">
        <v>84</v>
      </c>
      <c r="Q525" s="7" t="str">
        <f t="shared" si="71"/>
        <v xml:space="preserve">Newsletter subscriber </v>
      </c>
    </row>
    <row r="526" spans="1:17">
      <c r="A526">
        <v>1871</v>
      </c>
      <c r="B526" t="s">
        <v>56</v>
      </c>
      <c r="C526" s="9" t="str">
        <f t="shared" si="64"/>
        <v>Carlos García</v>
      </c>
      <c r="D526" s="7" t="str">
        <f t="shared" si="65"/>
        <v>Carlos García</v>
      </c>
      <c r="F526" s="7">
        <f t="shared" si="66"/>
        <v>43</v>
      </c>
      <c r="G526" t="s">
        <v>67</v>
      </c>
      <c r="H526" s="7" t="str">
        <f t="shared" si="67"/>
        <v>Sweden</v>
      </c>
      <c r="I526" t="s">
        <v>543</v>
      </c>
      <c r="J526" s="7" t="str">
        <f>TEXT(
  IFERROR(
    DATEVALUE(SUBSTITUTE(SUBSTITUTE(TRIM(I526),"T"," "),"Z","")),
    IFERROR(
      DATE(
        RIGHT(TRIM(I526),4),
        MID(TRIM(I526),4,2),
        LEFT(TRIM(I526),2)
      ),
      DATE(
        VALUE(RIGHT(TRIM(I526),4)),
        MATCH(LEFT(TRIM(I526),FIND(" ",TRIM(I526))-1),
          {"January","February","March","April","May","June","July","August","September","October","November","December"},0),
        VALUE(MID(TRIM(I526),
          FIND(" ",TRIM(I526))+1,
          FIND(" ",TRIM(I526),FIND(" ",TRIM(I526))+1)-FIND(" ",TRIM(I526))-1))
      )
    )
  ),
"yyyy-mm-dd")</f>
        <v>2023-07-26</v>
      </c>
      <c r="K526" s="5" t="str">
        <f t="shared" si="68"/>
        <v>Jul</v>
      </c>
      <c r="L526">
        <v>1691279868</v>
      </c>
      <c r="M526" s="11">
        <f t="shared" si="69"/>
        <v>45143.998472222222</v>
      </c>
      <c r="O526" s="7">
        <f t="shared" si="70"/>
        <v>0</v>
      </c>
      <c r="P526" t="s">
        <v>58</v>
      </c>
      <c r="Q526" s="7" t="str">
        <f t="shared" si="71"/>
        <v>Student account</v>
      </c>
    </row>
    <row r="527" spans="1:17">
      <c r="A527">
        <v>2197</v>
      </c>
      <c r="B527" t="s">
        <v>131</v>
      </c>
      <c r="C527" s="9" t="str">
        <f t="shared" si="64"/>
        <v>Isabella Martinez</v>
      </c>
      <c r="D527" s="7" t="str">
        <f t="shared" si="65"/>
        <v>Isabella Martinez</v>
      </c>
      <c r="F527" s="7">
        <f t="shared" si="66"/>
        <v>43</v>
      </c>
      <c r="G527" t="s">
        <v>44</v>
      </c>
      <c r="H527" s="7" t="str">
        <f t="shared" si="67"/>
        <v>UAE</v>
      </c>
      <c r="I527" t="s">
        <v>544</v>
      </c>
      <c r="J527" s="7" t="str">
        <f>TEXT(
  IFERROR(
    DATEVALUE(SUBSTITUTE(SUBSTITUTE(TRIM(I527),"T"," "),"Z","")),
    IFERROR(
      DATE(
        RIGHT(TRIM(I527),4),
        MID(TRIM(I527),4,2),
        LEFT(TRIM(I527),2)
      ),
      DATE(
        VALUE(RIGHT(TRIM(I527),4)),
        MATCH(LEFT(TRIM(I527),FIND(" ",TRIM(I527))-1),
          {"January","February","March","April","May","June","July","August","September","October","November","December"},0),
        VALUE(MID(TRIM(I527),
          FIND(" ",TRIM(I527))+1,
          FIND(" ",TRIM(I527),FIND(" ",TRIM(I527))+1)-FIND(" ",TRIM(I527))-1))
      )
    )
  ),
"yyyy-mm-dd")</f>
        <v>2023-03-25</v>
      </c>
      <c r="K527" s="5" t="str">
        <f t="shared" si="68"/>
        <v>Mar</v>
      </c>
      <c r="L527">
        <v>1689495358</v>
      </c>
      <c r="M527" s="11">
        <f t="shared" si="69"/>
        <v>45123.344421296293</v>
      </c>
      <c r="O527" s="7">
        <f t="shared" si="70"/>
        <v>0</v>
      </c>
      <c r="P527" t="s">
        <v>33</v>
      </c>
      <c r="Q527" s="7" t="str">
        <f t="shared" si="71"/>
        <v>Frequent buyer n</v>
      </c>
    </row>
    <row r="528" spans="1:17">
      <c r="A528">
        <v>1837</v>
      </c>
      <c r="B528" t="s">
        <v>224</v>
      </c>
      <c r="C528" s="9" t="str">
        <f t="shared" si="64"/>
        <v>Anne Müller</v>
      </c>
      <c r="D528" s="7" t="str">
        <f t="shared" si="65"/>
        <v xml:space="preserve"> Anne Müller </v>
      </c>
      <c r="E528">
        <v>54</v>
      </c>
      <c r="F528" s="7">
        <f t="shared" si="66"/>
        <v>54</v>
      </c>
      <c r="G528" t="s">
        <v>67</v>
      </c>
      <c r="H528" s="7" t="str">
        <f t="shared" si="67"/>
        <v>Sweden</v>
      </c>
      <c r="I528" t="s">
        <v>545</v>
      </c>
      <c r="J528" s="7" t="str">
        <f>TEXT(
  IFERROR(
    DATEVALUE(SUBSTITUTE(SUBSTITUTE(TRIM(I528),"T"," "),"Z","")),
    IFERROR(
      DATE(
        RIGHT(TRIM(I528),4),
        MID(TRIM(I528),4,2),
        LEFT(TRIM(I528),2)
      ),
      DATE(
        VALUE(RIGHT(TRIM(I528),4)),
        MATCH(LEFT(TRIM(I528),FIND(" ",TRIM(I528))-1),
          {"January","February","March","April","May","June","July","August","September","October","November","December"},0),
        VALUE(MID(TRIM(I528),
          FIND(" ",TRIM(I528))+1,
          FIND(" ",TRIM(I528),FIND(" ",TRIM(I528))+1)-FIND(" ",TRIM(I528))-1))
      )
    )
  ),
"yyyy-mm-dd")</f>
        <v>2023-03-20</v>
      </c>
      <c r="K528" s="5" t="str">
        <f t="shared" si="68"/>
        <v>Mar</v>
      </c>
      <c r="L528">
        <v>1684988376</v>
      </c>
      <c r="M528" s="11">
        <f t="shared" si="69"/>
        <v>45071.180277777778</v>
      </c>
      <c r="O528" s="7">
        <f t="shared" si="70"/>
        <v>0</v>
      </c>
      <c r="P528" t="s">
        <v>58</v>
      </c>
      <c r="Q528" s="7" t="str">
        <f t="shared" si="71"/>
        <v>Student account</v>
      </c>
    </row>
    <row r="529" spans="1:17">
      <c r="A529">
        <v>1005</v>
      </c>
      <c r="B529" t="s">
        <v>140</v>
      </c>
      <c r="C529" s="9" t="str">
        <f t="shared" si="64"/>
        <v>Anne Müller</v>
      </c>
      <c r="D529" s="7" t="str">
        <f t="shared" si="65"/>
        <v>Anne Müller</v>
      </c>
      <c r="F529" s="7">
        <f t="shared" si="66"/>
        <v>43</v>
      </c>
      <c r="G529" t="s">
        <v>60</v>
      </c>
      <c r="H529" s="7" t="str">
        <f t="shared" si="67"/>
        <v>Egypt</v>
      </c>
      <c r="I529" t="s">
        <v>546</v>
      </c>
      <c r="J529" s="7" t="str">
        <f>TEXT(
  IFERROR(
    DATEVALUE(SUBSTITUTE(SUBSTITUTE(TRIM(I529),"T"," "),"Z","")),
    IFERROR(
      DATE(
        RIGHT(TRIM(I529),4),
        MID(TRIM(I529),4,2),
        LEFT(TRIM(I529),2)
      ),
      DATE(
        VALUE(RIGHT(TRIM(I529),4)),
        MATCH(LEFT(TRIM(I529),FIND(" ",TRIM(I529))-1),
          {"January","February","March","April","May","June","July","August","September","October","November","December"},0),
        VALUE(MID(TRIM(I529),
          FIND(" ",TRIM(I529))+1,
          FIND(" ",TRIM(I529),FIND(" ",TRIM(I529))+1)-FIND(" ",TRIM(I529))-1))
      )
    )
  ),
"yyyy-mm-dd")</f>
        <v>2023-10-21</v>
      </c>
      <c r="K529" s="5" t="str">
        <f t="shared" si="68"/>
        <v>Oct</v>
      </c>
      <c r="L529">
        <v>1691507888</v>
      </c>
      <c r="M529" s="11">
        <f t="shared" si="69"/>
        <v>45146.637592592597</v>
      </c>
      <c r="O529" s="7">
        <f t="shared" si="70"/>
        <v>0</v>
      </c>
      <c r="P529" t="s">
        <v>118</v>
      </c>
      <c r="Q529" s="7" t="str">
        <f t="shared" si="71"/>
        <v>High engagement</v>
      </c>
    </row>
    <row r="530" spans="1:17">
      <c r="A530">
        <v>2069</v>
      </c>
      <c r="B530" t="s">
        <v>104</v>
      </c>
      <c r="C530" s="9" t="str">
        <f t="shared" si="64"/>
        <v>David Brown</v>
      </c>
      <c r="D530" s="7" t="str">
        <f t="shared" si="65"/>
        <v>David Brown</v>
      </c>
      <c r="E530">
        <v>50</v>
      </c>
      <c r="F530" s="7">
        <f t="shared" si="66"/>
        <v>50</v>
      </c>
      <c r="G530" t="s">
        <v>62</v>
      </c>
      <c r="H530" s="7" t="str">
        <f t="shared" si="67"/>
        <v>Ireland</v>
      </c>
      <c r="I530" t="s">
        <v>547</v>
      </c>
      <c r="J530" s="7" t="str">
        <f>TEXT(
  IFERROR(
    DATEVALUE(SUBSTITUTE(SUBSTITUTE(TRIM(I530),"T"," "),"Z","")),
    IFERROR(
      DATE(
        RIGHT(TRIM(I530),4),
        MID(TRIM(I530),4,2),
        LEFT(TRIM(I530),2)
      ),
      DATE(
        VALUE(RIGHT(TRIM(I530),4)),
        MATCH(LEFT(TRIM(I530),FIND(" ",TRIM(I530))-1),
          {"January","February","March","April","May","June","July","August","September","October","November","December"},0),
        VALUE(MID(TRIM(I530),
          FIND(" ",TRIM(I530))+1,
          FIND(" ",TRIM(I530),FIND(" ",TRIM(I530))+1)-FIND(" ",TRIM(I530))-1))
      )
    )
  ),
"yyyy-mm-dd")</f>
        <v>2023-04-03</v>
      </c>
      <c r="K530" s="5" t="str">
        <f t="shared" si="68"/>
        <v>Apr</v>
      </c>
      <c r="L530">
        <v>1681750211</v>
      </c>
      <c r="M530" s="11">
        <f t="shared" si="69"/>
        <v>45033.701516203699</v>
      </c>
      <c r="N530">
        <v>1182.27</v>
      </c>
      <c r="O530" s="7">
        <f t="shared" si="70"/>
        <v>1182.27</v>
      </c>
      <c r="P530" t="s">
        <v>27</v>
      </c>
      <c r="Q530" s="7" t="str">
        <f t="shared" si="71"/>
        <v xml:space="preserve">Holiday signup </v>
      </c>
    </row>
    <row r="531" spans="1:17">
      <c r="A531">
        <v>2082</v>
      </c>
      <c r="B531" t="s">
        <v>41</v>
      </c>
      <c r="C531" s="9" t="str">
        <f t="shared" si="64"/>
        <v>Lucas Silva</v>
      </c>
      <c r="D531" s="7" t="str">
        <f t="shared" si="65"/>
        <v>Lucas Silva</v>
      </c>
      <c r="E531">
        <v>23</v>
      </c>
      <c r="F531" s="7">
        <f t="shared" si="66"/>
        <v>23</v>
      </c>
      <c r="G531" t="s">
        <v>62</v>
      </c>
      <c r="H531" s="7" t="str">
        <f t="shared" si="67"/>
        <v>Ireland</v>
      </c>
      <c r="I531" t="s">
        <v>548</v>
      </c>
      <c r="J531" s="7" t="str">
        <f>TEXT(
  IFERROR(
    DATEVALUE(SUBSTITUTE(SUBSTITUTE(TRIM(I531),"T"," "),"Z","")),
    IFERROR(
      DATE(
        RIGHT(TRIM(I531),4),
        MID(TRIM(I531),4,2),
        LEFT(TRIM(I531),2)
      ),
      DATE(
        VALUE(RIGHT(TRIM(I531),4)),
        MATCH(LEFT(TRIM(I531),FIND(" ",TRIM(I531))-1),
          {"January","February","March","April","May","June","July","August","September","October","November","December"},0),
        VALUE(MID(TRIM(I531),
          FIND(" ",TRIM(I531))+1,
          FIND(" ",TRIM(I531),FIND(" ",TRIM(I531))+1)-FIND(" ",TRIM(I531))-1))
      )
    )
  ),
"yyyy-mm-dd")</f>
        <v>2023-03-28</v>
      </c>
      <c r="K531" s="5" t="str">
        <f t="shared" si="68"/>
        <v>Mar</v>
      </c>
      <c r="L531">
        <v>1677356987</v>
      </c>
      <c r="M531" s="11">
        <f t="shared" si="69"/>
        <v>44982.854016203702</v>
      </c>
      <c r="N531">
        <v>282.18</v>
      </c>
      <c r="O531" s="7">
        <f t="shared" si="70"/>
        <v>282.18</v>
      </c>
      <c r="P531" t="s">
        <v>33</v>
      </c>
      <c r="Q531" s="7" t="str">
        <f t="shared" si="71"/>
        <v>Frequent buyer n</v>
      </c>
    </row>
    <row r="532" spans="1:17">
      <c r="A532">
        <v>2046</v>
      </c>
      <c r="B532" t="s">
        <v>240</v>
      </c>
      <c r="C532" s="9" t="str">
        <f t="shared" si="64"/>
        <v>Fatima Ali</v>
      </c>
      <c r="D532" s="7" t="str">
        <f t="shared" si="65"/>
        <v xml:space="preserve"> Fatima Ali </v>
      </c>
      <c r="E532">
        <v>52</v>
      </c>
      <c r="F532" s="7">
        <f t="shared" si="66"/>
        <v>52</v>
      </c>
      <c r="G532" t="s">
        <v>29</v>
      </c>
      <c r="H532" s="7" t="str">
        <f t="shared" si="67"/>
        <v>United States</v>
      </c>
      <c r="I532" t="s">
        <v>549</v>
      </c>
      <c r="J532" s="7" t="str">
        <f>TEXT(
  IFERROR(
    DATEVALUE(SUBSTITUTE(SUBSTITUTE(TRIM(I532),"T"," "),"Z","")),
    IFERROR(
      DATE(
        RIGHT(TRIM(I532),4),
        MID(TRIM(I532),4,2),
        LEFT(TRIM(I532),2)
      ),
      DATE(
        VALUE(RIGHT(TRIM(I532),4)),
        MATCH(LEFT(TRIM(I532),FIND(" ",TRIM(I532))-1),
          {"January","February","March","April","May","June","July","August","September","October","November","December"},0),
        VALUE(MID(TRIM(I532),
          FIND(" ",TRIM(I532))+1,
          FIND(" ",TRIM(I532),FIND(" ",TRIM(I532))+1)-FIND(" ",TRIM(I532))-1))
      )
    )
  ),
"yyyy-mm-dd")</f>
        <v>2023-06-03</v>
      </c>
      <c r="K532" s="5" t="str">
        <f t="shared" si="68"/>
        <v>Jun</v>
      </c>
      <c r="L532">
        <v>1685788231</v>
      </c>
      <c r="M532" s="11">
        <f t="shared" si="69"/>
        <v>45080.4378587963</v>
      </c>
      <c r="N532">
        <v>1050.6600000000001</v>
      </c>
      <c r="O532" s="7">
        <f t="shared" si="70"/>
        <v>1050.6600000000001</v>
      </c>
      <c r="P532" t="s">
        <v>46</v>
      </c>
      <c r="Q532" s="7" t="str">
        <f t="shared" si="71"/>
        <v>Corporate account</v>
      </c>
    </row>
    <row r="533" spans="1:17">
      <c r="A533">
        <v>1573</v>
      </c>
      <c r="B533" t="s">
        <v>53</v>
      </c>
      <c r="C533" s="9" t="str">
        <f t="shared" si="64"/>
        <v>Sofia Rossi</v>
      </c>
      <c r="D533" s="7" t="str">
        <f t="shared" si="65"/>
        <v xml:space="preserve"> Sofia Rossi </v>
      </c>
      <c r="E533">
        <v>38</v>
      </c>
      <c r="F533" s="7">
        <f t="shared" si="66"/>
        <v>38</v>
      </c>
      <c r="G533" t="s">
        <v>25</v>
      </c>
      <c r="H533" s="7" t="str">
        <f t="shared" si="67"/>
        <v>Japan</v>
      </c>
      <c r="I533" t="s">
        <v>550</v>
      </c>
      <c r="J533" s="7" t="str">
        <f>TEXT(
  IFERROR(
    DATEVALUE(SUBSTITUTE(SUBSTITUTE(TRIM(I533),"T"," "),"Z","")),
    IFERROR(
      DATE(
        RIGHT(TRIM(I533),4),
        MID(TRIM(I533),4,2),
        LEFT(TRIM(I533),2)
      ),
      DATE(
        VALUE(RIGHT(TRIM(I533),4)),
        MATCH(LEFT(TRIM(I533),FIND(" ",TRIM(I533))-1),
          {"January","February","March","April","May","June","July","August","September","October","November","December"},0),
        VALUE(MID(TRIM(I533),
          FIND(" ",TRIM(I533))+1,
          FIND(" ",TRIM(I533),FIND(" ",TRIM(I533))+1)-FIND(" ",TRIM(I533))-1))
      )
    )
  ),
"yyyy-mm-dd")</f>
        <v>2023-11-22</v>
      </c>
      <c r="K533" s="5" t="str">
        <f t="shared" si="68"/>
        <v>Nov</v>
      </c>
      <c r="L533">
        <v>1697780219</v>
      </c>
      <c r="M533" s="11">
        <f t="shared" si="69"/>
        <v>45219.2340162037</v>
      </c>
      <c r="O533" s="7">
        <f t="shared" si="70"/>
        <v>0</v>
      </c>
      <c r="P533" t="s">
        <v>40</v>
      </c>
      <c r="Q533" s="7" t="str">
        <f t="shared" si="71"/>
        <v xml:space="preserve">VIP client </v>
      </c>
    </row>
    <row r="534" spans="1:17">
      <c r="A534">
        <v>1659</v>
      </c>
      <c r="B534" t="s">
        <v>195</v>
      </c>
      <c r="C534" s="9" t="str">
        <f t="shared" si="64"/>
        <v>Lucas Silva</v>
      </c>
      <c r="D534" s="7" t="str">
        <f t="shared" si="65"/>
        <v xml:space="preserve"> Lucas Silva </v>
      </c>
      <c r="E534">
        <v>56</v>
      </c>
      <c r="F534" s="7">
        <f t="shared" si="66"/>
        <v>56</v>
      </c>
      <c r="G534" t="s">
        <v>18</v>
      </c>
      <c r="H534" s="7" t="str">
        <f t="shared" si="67"/>
        <v>United Kingdom</v>
      </c>
      <c r="I534" t="s">
        <v>551</v>
      </c>
      <c r="J534" s="7" t="str">
        <f>TEXT(
  IFERROR(
    DATEVALUE(SUBSTITUTE(SUBSTITUTE(TRIM(I534),"T"," "),"Z","")),
    IFERROR(
      DATE(
        RIGHT(TRIM(I534),4),
        MID(TRIM(I534),4,2),
        LEFT(TRIM(I534),2)
      ),
      DATE(
        VALUE(RIGHT(TRIM(I534),4)),
        MATCH(LEFT(TRIM(I534),FIND(" ",TRIM(I534))-1),
          {"January","February","March","April","May","June","July","August","September","October","November","December"},0),
        VALUE(MID(TRIM(I534),
          FIND(" ",TRIM(I534))+1,
          FIND(" ",TRIM(I534),FIND(" ",TRIM(I534))+1)-FIND(" ",TRIM(I534))-1))
      )
    )
  ),
"yyyy-mm-dd")</f>
        <v>2023-11-27</v>
      </c>
      <c r="K534" s="5" t="str">
        <f t="shared" si="68"/>
        <v>Nov</v>
      </c>
      <c r="L534">
        <v>1692951493</v>
      </c>
      <c r="M534" s="11">
        <f t="shared" si="69"/>
        <v>45163.345983796295</v>
      </c>
      <c r="N534">
        <v>720.03</v>
      </c>
      <c r="O534" s="7">
        <f t="shared" si="70"/>
        <v>720.03</v>
      </c>
      <c r="P534" t="s">
        <v>33</v>
      </c>
      <c r="Q534" s="7" t="str">
        <f t="shared" si="71"/>
        <v>Frequent buyer n</v>
      </c>
    </row>
    <row r="535" spans="1:17">
      <c r="A535">
        <v>1847</v>
      </c>
      <c r="B535" t="s">
        <v>148</v>
      </c>
      <c r="C535" s="9" t="str">
        <f t="shared" si="64"/>
        <v>Chloe Dubois</v>
      </c>
      <c r="D535" s="7" t="str">
        <f t="shared" si="65"/>
        <v>Chloe Dubois</v>
      </c>
      <c r="F535" s="7">
        <f t="shared" si="66"/>
        <v>43</v>
      </c>
      <c r="G535" t="s">
        <v>62</v>
      </c>
      <c r="H535" s="7" t="str">
        <f t="shared" si="67"/>
        <v>Ireland</v>
      </c>
      <c r="I535" t="s">
        <v>552</v>
      </c>
      <c r="J535" s="7" t="str">
        <f>TEXT(
  IFERROR(
    DATEVALUE(SUBSTITUTE(SUBSTITUTE(TRIM(I535),"T"," "),"Z","")),
    IFERROR(
      DATE(
        RIGHT(TRIM(I535),4),
        MID(TRIM(I535),4,2),
        LEFT(TRIM(I535),2)
      ),
      DATE(
        VALUE(RIGHT(TRIM(I535),4)),
        MATCH(LEFT(TRIM(I535),FIND(" ",TRIM(I535))-1),
          {"January","February","March","April","May","June","July","August","September","October","November","December"},0),
        VALUE(MID(TRIM(I535),
          FIND(" ",TRIM(I535))+1,
          FIND(" ",TRIM(I535),FIND(" ",TRIM(I535))+1)-FIND(" ",TRIM(I535))-1))
      )
    )
  ),
"yyyy-mm-dd")</f>
        <v>2023-02-11</v>
      </c>
      <c r="K535" s="5" t="str">
        <f t="shared" si="68"/>
        <v>Feb</v>
      </c>
      <c r="L535">
        <v>1690598072</v>
      </c>
      <c r="M535" s="11">
        <f t="shared" si="69"/>
        <v>45136.107314814813</v>
      </c>
      <c r="O535" s="7">
        <f t="shared" si="70"/>
        <v>0</v>
      </c>
      <c r="P535" t="s">
        <v>52</v>
      </c>
      <c r="Q535" s="7" t="str">
        <f t="shared" si="71"/>
        <v xml:space="preserve">Prefers email </v>
      </c>
    </row>
    <row r="536" spans="1:17">
      <c r="A536">
        <v>1723</v>
      </c>
      <c r="B536" t="s">
        <v>126</v>
      </c>
      <c r="C536" s="9" t="str">
        <f t="shared" si="64"/>
        <v>Noah Martin</v>
      </c>
      <c r="D536" s="7" t="str">
        <f t="shared" si="65"/>
        <v>Noah Martin</v>
      </c>
      <c r="E536">
        <v>40</v>
      </c>
      <c r="F536" s="7">
        <f t="shared" si="66"/>
        <v>40</v>
      </c>
      <c r="G536" t="s">
        <v>29</v>
      </c>
      <c r="H536" s="7" t="str">
        <f t="shared" si="67"/>
        <v>United States</v>
      </c>
      <c r="I536" t="s">
        <v>553</v>
      </c>
      <c r="J536" s="7" t="str">
        <f>TEXT(
  IFERROR(
    DATEVALUE(SUBSTITUTE(SUBSTITUTE(TRIM(I536),"T"," "),"Z","")),
    IFERROR(
      DATE(
        RIGHT(TRIM(I536),4),
        MID(TRIM(I536),4,2),
        LEFT(TRIM(I536),2)
      ),
      DATE(
        VALUE(RIGHT(TRIM(I536),4)),
        MATCH(LEFT(TRIM(I536),FIND(" ",TRIM(I536))-1),
          {"January","February","March","April","May","June","July","August","September","October","November","December"},0),
        VALUE(MID(TRIM(I536),
          FIND(" ",TRIM(I536))+1,
          FIND(" ",TRIM(I536),FIND(" ",TRIM(I536))+1)-FIND(" ",TRIM(I536))-1))
      )
    )
  ),
"yyyy-mm-dd")</f>
        <v>2023-03-05</v>
      </c>
      <c r="K536" s="5" t="str">
        <f t="shared" si="68"/>
        <v>Mar</v>
      </c>
      <c r="L536">
        <v>1684955267</v>
      </c>
      <c r="M536" s="11">
        <f t="shared" si="69"/>
        <v>45070.797071759254</v>
      </c>
      <c r="O536" s="7">
        <f t="shared" si="70"/>
        <v>0</v>
      </c>
      <c r="P536" t="s">
        <v>20</v>
      </c>
      <c r="Q536" s="7" t="str">
        <f t="shared" si="71"/>
        <v xml:space="preserve">Great customer </v>
      </c>
    </row>
    <row r="537" spans="1:17">
      <c r="A537">
        <v>1454</v>
      </c>
      <c r="B537" t="s">
        <v>187</v>
      </c>
      <c r="C537" s="9" t="str">
        <f t="shared" si="64"/>
        <v>André Santos</v>
      </c>
      <c r="D537" s="7" t="str">
        <f t="shared" si="65"/>
        <v xml:space="preserve"> André Santos </v>
      </c>
      <c r="E537">
        <v>61</v>
      </c>
      <c r="F537" s="7">
        <f t="shared" si="66"/>
        <v>61</v>
      </c>
      <c r="G537" t="s">
        <v>122</v>
      </c>
      <c r="H537" s="7" t="str">
        <f t="shared" si="67"/>
        <v>Italy</v>
      </c>
      <c r="I537" t="s">
        <v>554</v>
      </c>
      <c r="J537" s="7" t="str">
        <f>TEXT(
  IFERROR(
    DATEVALUE(SUBSTITUTE(SUBSTITUTE(TRIM(I537),"T"," "),"Z","")),
    IFERROR(
      DATE(
        RIGHT(TRIM(I537),4),
        MID(TRIM(I537),4,2),
        LEFT(TRIM(I537),2)
      ),
      DATE(
        VALUE(RIGHT(TRIM(I537),4)),
        MATCH(LEFT(TRIM(I537),FIND(" ",TRIM(I537))-1),
          {"January","February","March","April","May","June","July","August","September","October","November","December"},0),
        VALUE(MID(TRIM(I537),
          FIND(" ",TRIM(I537))+1,
          FIND(" ",TRIM(I537),FIND(" ",TRIM(I537))+1)-FIND(" ",TRIM(I537))-1))
      )
    )
  ),
"yyyy-mm-dd")</f>
        <v>2023-04-09</v>
      </c>
      <c r="K537" s="5" t="str">
        <f t="shared" si="68"/>
        <v>Apr</v>
      </c>
      <c r="L537">
        <v>1699913839</v>
      </c>
      <c r="M537" s="11">
        <f t="shared" si="69"/>
        <v>45243.92869212963</v>
      </c>
      <c r="O537" s="7">
        <f t="shared" si="70"/>
        <v>0</v>
      </c>
      <c r="P537" t="s">
        <v>40</v>
      </c>
      <c r="Q537" s="7" t="str">
        <f t="shared" si="71"/>
        <v xml:space="preserve">VIP client </v>
      </c>
    </row>
    <row r="538" spans="1:17">
      <c r="A538">
        <v>1480</v>
      </c>
      <c r="B538" t="s">
        <v>131</v>
      </c>
      <c r="C538" s="9" t="str">
        <f t="shared" si="64"/>
        <v>Isabella Martinez</v>
      </c>
      <c r="D538" s="7" t="str">
        <f t="shared" si="65"/>
        <v>Isabella Martinez</v>
      </c>
      <c r="F538" s="7">
        <f t="shared" si="66"/>
        <v>43</v>
      </c>
      <c r="G538" t="s">
        <v>22</v>
      </c>
      <c r="H538" s="7" t="str">
        <f t="shared" si="67"/>
        <v>Germany</v>
      </c>
      <c r="I538" t="s">
        <v>192</v>
      </c>
      <c r="J538" s="7" t="str">
        <f>TEXT(
  IFERROR(
    DATEVALUE(SUBSTITUTE(SUBSTITUTE(TRIM(I538),"T"," "),"Z","")),
    IFERROR(
      DATE(
        RIGHT(TRIM(I538),4),
        MID(TRIM(I538),4,2),
        LEFT(TRIM(I538),2)
      ),
      DATE(
        VALUE(RIGHT(TRIM(I538),4)),
        MATCH(LEFT(TRIM(I538),FIND(" ",TRIM(I538))-1),
          {"January","February","March","April","May","June","July","August","September","October","November","December"},0),
        VALUE(MID(TRIM(I538),
          FIND(" ",TRIM(I538))+1,
          FIND(" ",TRIM(I538),FIND(" ",TRIM(I538))+1)-FIND(" ",TRIM(I538))-1))
      )
    )
  ),
"yyyy-mm-dd")</f>
        <v>2023-01-04</v>
      </c>
      <c r="K538" s="5" t="str">
        <f t="shared" si="68"/>
        <v>Jan</v>
      </c>
      <c r="L538">
        <v>1700076331</v>
      </c>
      <c r="M538" s="11">
        <f t="shared" si="69"/>
        <v>45245.809386574074</v>
      </c>
      <c r="N538">
        <v>961.27</v>
      </c>
      <c r="O538" s="7">
        <f t="shared" si="70"/>
        <v>961.27</v>
      </c>
      <c r="P538" t="s">
        <v>58</v>
      </c>
      <c r="Q538" s="7" t="str">
        <f t="shared" si="71"/>
        <v>Student account</v>
      </c>
    </row>
    <row r="539" spans="1:17">
      <c r="A539">
        <v>2166</v>
      </c>
      <c r="B539" t="s">
        <v>80</v>
      </c>
      <c r="C539" s="9" t="str">
        <f t="shared" si="64"/>
        <v>Ahmed Hassan</v>
      </c>
      <c r="D539" s="7" t="str">
        <f t="shared" si="65"/>
        <v>Ahmed Hassan</v>
      </c>
      <c r="E539">
        <v>30</v>
      </c>
      <c r="F539" s="7">
        <f t="shared" si="66"/>
        <v>30</v>
      </c>
      <c r="G539" t="s">
        <v>48</v>
      </c>
      <c r="H539" s="7" t="str">
        <f t="shared" si="67"/>
        <v>France</v>
      </c>
      <c r="I539" t="s">
        <v>555</v>
      </c>
      <c r="J539" s="7" t="str">
        <f>TEXT(
  IFERROR(
    DATEVALUE(SUBSTITUTE(SUBSTITUTE(TRIM(I539),"T"," "),"Z","")),
    IFERROR(
      DATE(
        RIGHT(TRIM(I539),4),
        MID(TRIM(I539),4,2),
        LEFT(TRIM(I539),2)
      ),
      DATE(
        VALUE(RIGHT(TRIM(I539),4)),
        MATCH(LEFT(TRIM(I539),FIND(" ",TRIM(I539))-1),
          {"January","February","March","April","May","June","July","August","September","October","November","December"},0),
        VALUE(MID(TRIM(I539),
          FIND(" ",TRIM(I539))+1,
          FIND(" ",TRIM(I539),FIND(" ",TRIM(I539))+1)-FIND(" ",TRIM(I539))-1))
      )
    )
  ),
"yyyy-mm-dd")</f>
        <v>2023-02-03</v>
      </c>
      <c r="K539" s="5" t="str">
        <f t="shared" si="68"/>
        <v>Feb</v>
      </c>
      <c r="L539">
        <v>1676827234</v>
      </c>
      <c r="M539" s="11">
        <f t="shared" si="69"/>
        <v>44976.722615740742</v>
      </c>
      <c r="N539">
        <v>1121.5</v>
      </c>
      <c r="O539" s="7">
        <f t="shared" si="70"/>
        <v>1121.5</v>
      </c>
      <c r="P539" t="s">
        <v>58</v>
      </c>
      <c r="Q539" s="7" t="str">
        <f t="shared" si="71"/>
        <v>Student account</v>
      </c>
    </row>
    <row r="540" spans="1:17">
      <c r="A540">
        <v>2168</v>
      </c>
      <c r="B540" t="s">
        <v>72</v>
      </c>
      <c r="C540" s="9" t="str">
        <f t="shared" si="64"/>
        <v>Emily Davis</v>
      </c>
      <c r="D540" s="7" t="str">
        <f t="shared" si="65"/>
        <v>Emily Davis</v>
      </c>
      <c r="E540">
        <v>64</v>
      </c>
      <c r="F540" s="7">
        <f t="shared" si="66"/>
        <v>64</v>
      </c>
      <c r="G540" t="s">
        <v>29</v>
      </c>
      <c r="H540" s="7" t="str">
        <f t="shared" si="67"/>
        <v>United States</v>
      </c>
      <c r="I540" t="s">
        <v>556</v>
      </c>
      <c r="J540" s="7" t="str">
        <f>TEXT(
  IFERROR(
    DATEVALUE(SUBSTITUTE(SUBSTITUTE(TRIM(I540),"T"," "),"Z","")),
    IFERROR(
      DATE(
        RIGHT(TRIM(I540),4),
        MID(TRIM(I540),4,2),
        LEFT(TRIM(I540),2)
      ),
      DATE(
        VALUE(RIGHT(TRIM(I540),4)),
        MATCH(LEFT(TRIM(I540),FIND(" ",TRIM(I540))-1),
          {"January","February","March","April","May","June","July","August","September","October","November","December"},0),
        VALUE(MID(TRIM(I540),
          FIND(" ",TRIM(I540))+1,
          FIND(" ",TRIM(I540),FIND(" ",TRIM(I540))+1)-FIND(" ",TRIM(I540))-1))
      )
    )
  ),
"yyyy-mm-dd")</f>
        <v>2023-12-21</v>
      </c>
      <c r="K540" s="5" t="str">
        <f t="shared" si="68"/>
        <v>Dec</v>
      </c>
      <c r="L540">
        <v>1693141740</v>
      </c>
      <c r="M540" s="11">
        <f t="shared" si="69"/>
        <v>45165.547916666663</v>
      </c>
      <c r="O540" s="7">
        <f t="shared" si="70"/>
        <v>0</v>
      </c>
      <c r="P540" t="s">
        <v>20</v>
      </c>
      <c r="Q540" s="7" t="str">
        <f t="shared" si="71"/>
        <v xml:space="preserve">Great customer </v>
      </c>
    </row>
    <row r="541" spans="1:17">
      <c r="A541">
        <v>1199</v>
      </c>
      <c r="B541" t="s">
        <v>17</v>
      </c>
      <c r="C541" s="9" t="str">
        <f t="shared" si="64"/>
        <v>John Smith</v>
      </c>
      <c r="D541" s="7" t="str">
        <f t="shared" si="65"/>
        <v>John Smith</v>
      </c>
      <c r="E541">
        <v>55</v>
      </c>
      <c r="F541" s="7">
        <f t="shared" si="66"/>
        <v>55</v>
      </c>
      <c r="G541" t="s">
        <v>25</v>
      </c>
      <c r="H541" s="7" t="str">
        <f t="shared" si="67"/>
        <v>Japan</v>
      </c>
      <c r="I541" t="s">
        <v>481</v>
      </c>
      <c r="J541" s="7" t="str">
        <f>TEXT(
  IFERROR(
    DATEVALUE(SUBSTITUTE(SUBSTITUTE(TRIM(I541),"T"," "),"Z","")),
    IFERROR(
      DATE(
        RIGHT(TRIM(I541),4),
        MID(TRIM(I541),4,2),
        LEFT(TRIM(I541),2)
      ),
      DATE(
        VALUE(RIGHT(TRIM(I541),4)),
        MATCH(LEFT(TRIM(I541),FIND(" ",TRIM(I541))-1),
          {"January","February","March","April","May","June","July","August","September","October","November","December"},0),
        VALUE(MID(TRIM(I541),
          FIND(" ",TRIM(I541))+1,
          FIND(" ",TRIM(I541),FIND(" ",TRIM(I541))+1)-FIND(" ",TRIM(I541))-1))
      )
    )
  ),
"yyyy-mm-dd")</f>
        <v>2023-05-09</v>
      </c>
      <c r="K541" s="5" t="str">
        <f t="shared" si="68"/>
        <v>May</v>
      </c>
      <c r="L541">
        <v>1676142531</v>
      </c>
      <c r="M541" s="11">
        <f t="shared" si="69"/>
        <v>44968.797812500001</v>
      </c>
      <c r="O541" s="7">
        <f t="shared" si="70"/>
        <v>0</v>
      </c>
      <c r="P541" t="s">
        <v>20</v>
      </c>
      <c r="Q541" s="7" t="str">
        <f t="shared" si="71"/>
        <v xml:space="preserve">Great customer </v>
      </c>
    </row>
    <row r="542" spans="1:17">
      <c r="A542">
        <v>1684</v>
      </c>
      <c r="B542" t="s">
        <v>80</v>
      </c>
      <c r="C542" s="9" t="str">
        <f t="shared" si="64"/>
        <v>Ahmed Hassan</v>
      </c>
      <c r="D542" s="7" t="str">
        <f t="shared" si="65"/>
        <v>Ahmed Hassan</v>
      </c>
      <c r="E542">
        <v>56</v>
      </c>
      <c r="F542" s="7">
        <f t="shared" si="66"/>
        <v>56</v>
      </c>
      <c r="G542" t="s">
        <v>111</v>
      </c>
      <c r="H542" s="7" t="str">
        <f t="shared" si="67"/>
        <v>South Korea</v>
      </c>
      <c r="I542" t="s">
        <v>557</v>
      </c>
      <c r="J542" s="7" t="str">
        <f>TEXT(
  IFERROR(
    DATEVALUE(SUBSTITUTE(SUBSTITUTE(TRIM(I542),"T"," "),"Z","")),
    IFERROR(
      DATE(
        RIGHT(TRIM(I542),4),
        MID(TRIM(I542),4,2),
        LEFT(TRIM(I542),2)
      ),
      DATE(
        VALUE(RIGHT(TRIM(I542),4)),
        MATCH(LEFT(TRIM(I542),FIND(" ",TRIM(I542))-1),
          {"January","February","March","April","May","June","July","August","September","October","November","December"},0),
        VALUE(MID(TRIM(I542),
          FIND(" ",TRIM(I542))+1,
          FIND(" ",TRIM(I542),FIND(" ",TRIM(I542))+1)-FIND(" ",TRIM(I542))-1))
      )
    )
  ),
"yyyy-mm-dd")</f>
        <v>2023-02-18</v>
      </c>
      <c r="K542" s="5" t="str">
        <f t="shared" si="68"/>
        <v>Feb</v>
      </c>
      <c r="L542">
        <v>1691949817</v>
      </c>
      <c r="M542" s="11">
        <f t="shared" si="69"/>
        <v>45151.752511574072</v>
      </c>
      <c r="N542">
        <v>195.99</v>
      </c>
      <c r="O542" s="7">
        <f t="shared" si="70"/>
        <v>195.99</v>
      </c>
      <c r="P542" t="s">
        <v>20</v>
      </c>
      <c r="Q542" s="7" t="str">
        <f t="shared" si="71"/>
        <v xml:space="preserve">Great customer </v>
      </c>
    </row>
    <row r="543" spans="1:17">
      <c r="A543">
        <v>1209</v>
      </c>
      <c r="B543" t="s">
        <v>92</v>
      </c>
      <c r="C543" s="9" t="str">
        <f t="shared" si="64"/>
        <v>Zoë Kravitz</v>
      </c>
      <c r="D543" s="7" t="str">
        <f t="shared" si="65"/>
        <v xml:space="preserve"> Zoë Kravitz </v>
      </c>
      <c r="F543" s="7">
        <f t="shared" si="66"/>
        <v>43</v>
      </c>
      <c r="G543" t="s">
        <v>116</v>
      </c>
      <c r="H543" s="7" t="str">
        <f t="shared" si="67"/>
        <v>China</v>
      </c>
      <c r="I543" t="s">
        <v>479</v>
      </c>
      <c r="J543" s="7" t="str">
        <f>TEXT(
  IFERROR(
    DATEVALUE(SUBSTITUTE(SUBSTITUTE(TRIM(I543),"T"," "),"Z","")),
    IFERROR(
      DATE(
        RIGHT(TRIM(I543),4),
        MID(TRIM(I543),4,2),
        LEFT(TRIM(I543),2)
      ),
      DATE(
        VALUE(RIGHT(TRIM(I543),4)),
        MATCH(LEFT(TRIM(I543),FIND(" ",TRIM(I543))-1),
          {"January","February","March","April","May","June","July","August","September","October","November","December"},0),
        VALUE(MID(TRIM(I543),
          FIND(" ",TRIM(I543))+1,
          FIND(" ",TRIM(I543),FIND(" ",TRIM(I543))+1)-FIND(" ",TRIM(I543))-1))
      )
    )
  ),
"yyyy-mm-dd")</f>
        <v>2023-02-19</v>
      </c>
      <c r="K543" s="5" t="str">
        <f t="shared" si="68"/>
        <v>Feb</v>
      </c>
      <c r="L543">
        <v>1697755703</v>
      </c>
      <c r="M543" s="11">
        <f t="shared" si="69"/>
        <v>45218.950266203705</v>
      </c>
      <c r="N543">
        <v>622.54999999999995</v>
      </c>
      <c r="O543" s="7">
        <f t="shared" si="70"/>
        <v>622.54999999999995</v>
      </c>
      <c r="P543" t="s">
        <v>36</v>
      </c>
      <c r="Q543" s="7" t="str">
        <f t="shared" si="71"/>
        <v>Regular shopper</v>
      </c>
    </row>
    <row r="544" spans="1:17">
      <c r="A544">
        <v>1911</v>
      </c>
      <c r="B544" t="s">
        <v>120</v>
      </c>
      <c r="C544" s="9" t="str">
        <f t="shared" si="64"/>
        <v>Sarah Johnson</v>
      </c>
      <c r="D544" s="7" t="str">
        <f t="shared" si="65"/>
        <v xml:space="preserve"> Sarah Johnson </v>
      </c>
      <c r="E544">
        <v>20</v>
      </c>
      <c r="F544" s="7">
        <f t="shared" si="66"/>
        <v>20</v>
      </c>
      <c r="G544" t="s">
        <v>102</v>
      </c>
      <c r="H544" s="7" t="str">
        <f t="shared" si="67"/>
        <v>Mexico</v>
      </c>
      <c r="I544" t="s">
        <v>172</v>
      </c>
      <c r="J544" s="7" t="str">
        <f>TEXT(
  IFERROR(
    DATEVALUE(SUBSTITUTE(SUBSTITUTE(TRIM(I544),"T"," "),"Z","")),
    IFERROR(
      DATE(
        RIGHT(TRIM(I544),4),
        MID(TRIM(I544),4,2),
        LEFT(TRIM(I544),2)
      ),
      DATE(
        VALUE(RIGHT(TRIM(I544),4)),
        MATCH(LEFT(TRIM(I544),FIND(" ",TRIM(I544))-1),
          {"January","February","March","April","May","June","July","August","September","October","November","December"},0),
        VALUE(MID(TRIM(I544),
          FIND(" ",TRIM(I544))+1,
          FIND(" ",TRIM(I544),FIND(" ",TRIM(I544))+1)-FIND(" ",TRIM(I544))-1))
      )
    )
  ),
"yyyy-mm-dd")</f>
        <v>2023-10-27</v>
      </c>
      <c r="K544" s="5" t="str">
        <f t="shared" si="68"/>
        <v>Oct</v>
      </c>
      <c r="L544">
        <v>1689741642</v>
      </c>
      <c r="M544" s="11">
        <f t="shared" si="69"/>
        <v>45126.194930555561</v>
      </c>
      <c r="O544" s="7">
        <f t="shared" si="70"/>
        <v>0</v>
      </c>
      <c r="P544" t="s">
        <v>58</v>
      </c>
      <c r="Q544" s="7" t="str">
        <f t="shared" si="71"/>
        <v>Student account</v>
      </c>
    </row>
    <row r="545" spans="1:17">
      <c r="A545">
        <v>1487</v>
      </c>
      <c r="B545" t="s">
        <v>80</v>
      </c>
      <c r="C545" s="9" t="str">
        <f t="shared" si="64"/>
        <v>Ahmed Hassan</v>
      </c>
      <c r="D545" s="7" t="str">
        <f t="shared" si="65"/>
        <v>Ahmed Hassan</v>
      </c>
      <c r="F545" s="7">
        <f t="shared" si="66"/>
        <v>43</v>
      </c>
      <c r="G545" t="s">
        <v>122</v>
      </c>
      <c r="H545" s="7" t="str">
        <f t="shared" si="67"/>
        <v>Italy</v>
      </c>
      <c r="I545" t="s">
        <v>411</v>
      </c>
      <c r="J545" s="7" t="str">
        <f>TEXT(
  IFERROR(
    DATEVALUE(SUBSTITUTE(SUBSTITUTE(TRIM(I545),"T"," "),"Z","")),
    IFERROR(
      DATE(
        RIGHT(TRIM(I545),4),
        MID(TRIM(I545),4,2),
        LEFT(TRIM(I545),2)
      ),
      DATE(
        VALUE(RIGHT(TRIM(I545),4)),
        MATCH(LEFT(TRIM(I545),FIND(" ",TRIM(I545))-1),
          {"January","February","March","April","May","June","July","August","September","October","November","December"},0),
        VALUE(MID(TRIM(I545),
          FIND(" ",TRIM(I545))+1,
          FIND(" ",TRIM(I545),FIND(" ",TRIM(I545))+1)-FIND(" ",TRIM(I545))-1))
      )
    )
  ),
"yyyy-mm-dd")</f>
        <v>2023-04-11</v>
      </c>
      <c r="K545" s="5" t="str">
        <f t="shared" si="68"/>
        <v>Apr</v>
      </c>
      <c r="L545">
        <v>1694017452</v>
      </c>
      <c r="M545" s="11">
        <f t="shared" si="69"/>
        <v>45175.683472222227</v>
      </c>
      <c r="N545">
        <v>1363.67</v>
      </c>
      <c r="O545" s="7">
        <f t="shared" si="70"/>
        <v>1363.67</v>
      </c>
      <c r="P545" t="s">
        <v>84</v>
      </c>
      <c r="Q545" s="7" t="str">
        <f t="shared" si="71"/>
        <v xml:space="preserve">Newsletter subscriber </v>
      </c>
    </row>
    <row r="546" spans="1:17">
      <c r="A546">
        <v>1388</v>
      </c>
      <c r="B546" t="s">
        <v>101</v>
      </c>
      <c r="C546" s="9" t="str">
        <f t="shared" si="64"/>
        <v>Zoë Kravitz</v>
      </c>
      <c r="D546" s="7" t="str">
        <f t="shared" si="65"/>
        <v>Zoë Kravitz</v>
      </c>
      <c r="E546">
        <v>47</v>
      </c>
      <c r="F546" s="7">
        <f t="shared" si="66"/>
        <v>47</v>
      </c>
      <c r="G546" t="s">
        <v>25</v>
      </c>
      <c r="H546" s="7" t="str">
        <f t="shared" si="67"/>
        <v>Japan</v>
      </c>
      <c r="I546" t="s">
        <v>79</v>
      </c>
      <c r="J546" s="7" t="str">
        <f>TEXT(
  IFERROR(
    DATEVALUE(SUBSTITUTE(SUBSTITUTE(TRIM(I546),"T"," "),"Z","")),
    IFERROR(
      DATE(
        RIGHT(TRIM(I546),4),
        MID(TRIM(I546),4,2),
        LEFT(TRIM(I546),2)
      ),
      DATE(
        VALUE(RIGHT(TRIM(I546),4)),
        MATCH(LEFT(TRIM(I546),FIND(" ",TRIM(I546))-1),
          {"January","February","March","April","May","June","July","August","September","October","November","December"},0),
        VALUE(MID(TRIM(I546),
          FIND(" ",TRIM(I546))+1,
          FIND(" ",TRIM(I546),FIND(" ",TRIM(I546))+1)-FIND(" ",TRIM(I546))-1))
      )
    )
  ),
"yyyy-mm-dd")</f>
        <v>2023-10-24</v>
      </c>
      <c r="K546" s="5" t="str">
        <f t="shared" si="68"/>
        <v>Oct</v>
      </c>
      <c r="L546">
        <v>1683786896</v>
      </c>
      <c r="M546" s="11">
        <f t="shared" si="69"/>
        <v>45057.274259259255</v>
      </c>
      <c r="O546" s="7">
        <f t="shared" si="70"/>
        <v>0</v>
      </c>
      <c r="P546" t="s">
        <v>84</v>
      </c>
      <c r="Q546" s="7" t="str">
        <f t="shared" si="71"/>
        <v xml:space="preserve">Newsletter subscriber </v>
      </c>
    </row>
    <row r="547" spans="1:17">
      <c r="A547">
        <v>1152</v>
      </c>
      <c r="B547" t="s">
        <v>34</v>
      </c>
      <c r="C547" s="9" t="str">
        <f t="shared" si="64"/>
        <v>Olivia Wilson</v>
      </c>
      <c r="D547" s="7" t="str">
        <f t="shared" si="65"/>
        <v xml:space="preserve"> Olivia Wilson </v>
      </c>
      <c r="F547" s="7">
        <f t="shared" si="66"/>
        <v>43</v>
      </c>
      <c r="G547" t="s">
        <v>111</v>
      </c>
      <c r="H547" s="7" t="str">
        <f t="shared" si="67"/>
        <v>South Korea</v>
      </c>
      <c r="I547" t="s">
        <v>558</v>
      </c>
      <c r="J547" s="7" t="str">
        <f>TEXT(
  IFERROR(
    DATEVALUE(SUBSTITUTE(SUBSTITUTE(TRIM(I547),"T"," "),"Z","")),
    IFERROR(
      DATE(
        RIGHT(TRIM(I547),4),
        MID(TRIM(I547),4,2),
        LEFT(TRIM(I547),2)
      ),
      DATE(
        VALUE(RIGHT(TRIM(I547),4)),
        MATCH(LEFT(TRIM(I547),FIND(" ",TRIM(I547))-1),
          {"January","February","March","April","May","June","July","August","September","October","November","December"},0),
        VALUE(MID(TRIM(I547),
          FIND(" ",TRIM(I547))+1,
          FIND(" ",TRIM(I547),FIND(" ",TRIM(I547))+1)-FIND(" ",TRIM(I547))-1))
      )
    )
  ),
"yyyy-mm-dd")</f>
        <v>2023-04-10</v>
      </c>
      <c r="K547" s="5" t="str">
        <f t="shared" si="68"/>
        <v>Apr</v>
      </c>
      <c r="L547">
        <v>1703149424</v>
      </c>
      <c r="M547" s="11">
        <f t="shared" si="69"/>
        <v>45281.377592592587</v>
      </c>
      <c r="N547">
        <v>1150.6400000000001</v>
      </c>
      <c r="O547" s="7">
        <f t="shared" si="70"/>
        <v>1150.6400000000001</v>
      </c>
      <c r="P547" t="s">
        <v>20</v>
      </c>
      <c r="Q547" s="7" t="str">
        <f t="shared" si="71"/>
        <v xml:space="preserve">Great customer </v>
      </c>
    </row>
    <row r="548" spans="1:17">
      <c r="A548">
        <v>1537</v>
      </c>
      <c r="B548" t="s">
        <v>224</v>
      </c>
      <c r="C548" s="9" t="str">
        <f t="shared" si="64"/>
        <v>Anne Müller</v>
      </c>
      <c r="D548" s="7" t="str">
        <f t="shared" si="65"/>
        <v xml:space="preserve"> Anne Müller </v>
      </c>
      <c r="F548" s="7">
        <f t="shared" si="66"/>
        <v>43</v>
      </c>
      <c r="G548" t="s">
        <v>18</v>
      </c>
      <c r="H548" s="7" t="str">
        <f t="shared" si="67"/>
        <v>United Kingdom</v>
      </c>
      <c r="I548" t="s">
        <v>559</v>
      </c>
      <c r="J548" s="7" t="str">
        <f>TEXT(
  IFERROR(
    DATEVALUE(SUBSTITUTE(SUBSTITUTE(TRIM(I548),"T"," "),"Z","")),
    IFERROR(
      DATE(
        RIGHT(TRIM(I548),4),
        MID(TRIM(I548),4,2),
        LEFT(TRIM(I548),2)
      ),
      DATE(
        VALUE(RIGHT(TRIM(I548),4)),
        MATCH(LEFT(TRIM(I548),FIND(" ",TRIM(I548))-1),
          {"January","February","March","April","May","June","July","August","September","October","November","December"},0),
        VALUE(MID(TRIM(I548),
          FIND(" ",TRIM(I548))+1,
          FIND(" ",TRIM(I548),FIND(" ",TRIM(I548))+1)-FIND(" ",TRIM(I548))-1))
      )
    )
  ),
"yyyy-mm-dd")</f>
        <v>2023-06-23</v>
      </c>
      <c r="K548" s="5" t="str">
        <f t="shared" si="68"/>
        <v>Jun</v>
      </c>
      <c r="L548">
        <v>1682760530</v>
      </c>
      <c r="M548" s="11">
        <f t="shared" si="69"/>
        <v>45045.395023148143</v>
      </c>
      <c r="O548" s="7">
        <f t="shared" si="70"/>
        <v>0</v>
      </c>
      <c r="P548" t="s">
        <v>84</v>
      </c>
      <c r="Q548" s="7" t="str">
        <f t="shared" si="71"/>
        <v xml:space="preserve">Newsletter subscriber </v>
      </c>
    </row>
    <row r="549" spans="1:17">
      <c r="A549">
        <v>1351</v>
      </c>
      <c r="B549" t="s">
        <v>80</v>
      </c>
      <c r="C549" s="9" t="str">
        <f t="shared" si="64"/>
        <v>Ahmed Hassan</v>
      </c>
      <c r="D549" s="7" t="str">
        <f t="shared" si="65"/>
        <v>Ahmed Hassan</v>
      </c>
      <c r="E549">
        <v>45</v>
      </c>
      <c r="F549" s="7">
        <f t="shared" si="66"/>
        <v>45</v>
      </c>
      <c r="G549" t="s">
        <v>29</v>
      </c>
      <c r="H549" s="7" t="str">
        <f t="shared" si="67"/>
        <v>United States</v>
      </c>
      <c r="I549" t="s">
        <v>526</v>
      </c>
      <c r="J549" s="7" t="str">
        <f>TEXT(
  IFERROR(
    DATEVALUE(SUBSTITUTE(SUBSTITUTE(TRIM(I549),"T"," "),"Z","")),
    IFERROR(
      DATE(
        RIGHT(TRIM(I549),4),
        MID(TRIM(I549),4,2),
        LEFT(TRIM(I549),2)
      ),
      DATE(
        VALUE(RIGHT(TRIM(I549),4)),
        MATCH(LEFT(TRIM(I549),FIND(" ",TRIM(I549))-1),
          {"January","February","March","April","May","June","July","August","September","October","November","December"},0),
        VALUE(MID(TRIM(I549),
          FIND(" ",TRIM(I549))+1,
          FIND(" ",TRIM(I549),FIND(" ",TRIM(I549))+1)-FIND(" ",TRIM(I549))-1))
      )
    )
  ),
"yyyy-mm-dd")</f>
        <v>2023-03-02</v>
      </c>
      <c r="K549" s="5" t="str">
        <f t="shared" si="68"/>
        <v>Mar</v>
      </c>
      <c r="L549">
        <v>1702143272</v>
      </c>
      <c r="M549" s="11">
        <f t="shared" si="69"/>
        <v>45269.732314814813</v>
      </c>
      <c r="N549">
        <v>1386.99</v>
      </c>
      <c r="O549" s="7">
        <f t="shared" si="70"/>
        <v>1386.99</v>
      </c>
      <c r="P549" t="s">
        <v>40</v>
      </c>
      <c r="Q549" s="7" t="str">
        <f t="shared" si="71"/>
        <v xml:space="preserve">VIP client </v>
      </c>
    </row>
    <row r="550" spans="1:17">
      <c r="A550">
        <v>2091</v>
      </c>
      <c r="B550" t="s">
        <v>126</v>
      </c>
      <c r="C550" s="9" t="str">
        <f t="shared" si="64"/>
        <v>Noah Martin</v>
      </c>
      <c r="D550" s="7" t="str">
        <f t="shared" si="65"/>
        <v>Noah Martin</v>
      </c>
      <c r="F550" s="7">
        <f t="shared" si="66"/>
        <v>43</v>
      </c>
      <c r="G550" t="s">
        <v>38</v>
      </c>
      <c r="H550" s="7" t="str">
        <f t="shared" si="67"/>
        <v>Spain</v>
      </c>
      <c r="I550" t="s">
        <v>560</v>
      </c>
      <c r="J550" s="7" t="str">
        <f>TEXT(
  IFERROR(
    DATEVALUE(SUBSTITUTE(SUBSTITUTE(TRIM(I550),"T"," "),"Z","")),
    IFERROR(
      DATE(
        RIGHT(TRIM(I550),4),
        MID(TRIM(I550),4,2),
        LEFT(TRIM(I550),2)
      ),
      DATE(
        VALUE(RIGHT(TRIM(I550),4)),
        MATCH(LEFT(TRIM(I550),FIND(" ",TRIM(I550))-1),
          {"January","February","March","April","May","June","July","August","September","October","November","December"},0),
        VALUE(MID(TRIM(I550),
          FIND(" ",TRIM(I550))+1,
          FIND(" ",TRIM(I550),FIND(" ",TRIM(I550))+1)-FIND(" ",TRIM(I550))-1))
      )
    )
  ),
"yyyy-mm-dd")</f>
        <v>2023-01-24</v>
      </c>
      <c r="K550" s="5" t="str">
        <f t="shared" si="68"/>
        <v>Jan</v>
      </c>
      <c r="L550">
        <v>1692231386</v>
      </c>
      <c r="M550" s="11">
        <f t="shared" si="69"/>
        <v>45155.011412037042</v>
      </c>
      <c r="O550" s="7">
        <f t="shared" si="70"/>
        <v>0</v>
      </c>
      <c r="P550" t="s">
        <v>33</v>
      </c>
      <c r="Q550" s="7" t="str">
        <f t="shared" si="71"/>
        <v>Frequent buyer n</v>
      </c>
    </row>
    <row r="551" spans="1:17">
      <c r="A551">
        <v>1753</v>
      </c>
      <c r="B551" t="s">
        <v>131</v>
      </c>
      <c r="C551" s="9" t="str">
        <f t="shared" si="64"/>
        <v>Isabella Martinez</v>
      </c>
      <c r="D551" s="7" t="str">
        <f t="shared" si="65"/>
        <v>Isabella Martinez</v>
      </c>
      <c r="E551">
        <v>42</v>
      </c>
      <c r="F551" s="7">
        <f t="shared" si="66"/>
        <v>42</v>
      </c>
      <c r="G551" t="s">
        <v>111</v>
      </c>
      <c r="H551" s="7" t="str">
        <f t="shared" si="67"/>
        <v>South Korea</v>
      </c>
      <c r="I551" t="s">
        <v>178</v>
      </c>
      <c r="J551" s="7" t="str">
        <f>TEXT(
  IFERROR(
    DATEVALUE(SUBSTITUTE(SUBSTITUTE(TRIM(I551),"T"," "),"Z","")),
    IFERROR(
      DATE(
        RIGHT(TRIM(I551),4),
        MID(TRIM(I551),4,2),
        LEFT(TRIM(I551),2)
      ),
      DATE(
        VALUE(RIGHT(TRIM(I551),4)),
        MATCH(LEFT(TRIM(I551),FIND(" ",TRIM(I551))-1),
          {"January","February","March","April","May","June","July","August","September","October","November","December"},0),
        VALUE(MID(TRIM(I551),
          FIND(" ",TRIM(I551))+1,
          FIND(" ",TRIM(I551),FIND(" ",TRIM(I551))+1)-FIND(" ",TRIM(I551))-1))
      )
    )
  ),
"yyyy-mm-dd")</f>
        <v>2023-04-30</v>
      </c>
      <c r="K551" s="5" t="str">
        <f t="shared" si="68"/>
        <v>Apr</v>
      </c>
      <c r="L551">
        <v>1694178515</v>
      </c>
      <c r="M551" s="11">
        <f t="shared" si="69"/>
        <v>45177.547627314816</v>
      </c>
      <c r="N551">
        <v>123.07</v>
      </c>
      <c r="O551" s="7">
        <f t="shared" si="70"/>
        <v>123.07</v>
      </c>
      <c r="P551" t="s">
        <v>58</v>
      </c>
      <c r="Q551" s="7" t="str">
        <f t="shared" si="71"/>
        <v>Student account</v>
      </c>
    </row>
    <row r="552" spans="1:17">
      <c r="A552">
        <v>1403</v>
      </c>
      <c r="B552" t="s">
        <v>101</v>
      </c>
      <c r="C552" s="9" t="str">
        <f t="shared" si="64"/>
        <v>Zoë Kravitz</v>
      </c>
      <c r="D552" s="7" t="str">
        <f t="shared" si="65"/>
        <v>Zoë Kravitz</v>
      </c>
      <c r="E552">
        <v>65</v>
      </c>
      <c r="F552" s="7">
        <f t="shared" si="66"/>
        <v>65</v>
      </c>
      <c r="G552" t="s">
        <v>54</v>
      </c>
      <c r="H552" s="7" t="str">
        <f t="shared" si="67"/>
        <v>Brazil</v>
      </c>
      <c r="I552" t="s">
        <v>71</v>
      </c>
      <c r="J552" s="7" t="str">
        <f>TEXT(
  IFERROR(
    DATEVALUE(SUBSTITUTE(SUBSTITUTE(TRIM(I552),"T"," "),"Z","")),
    IFERROR(
      DATE(
        RIGHT(TRIM(I552),4),
        MID(TRIM(I552),4,2),
        LEFT(TRIM(I552),2)
      ),
      DATE(
        VALUE(RIGHT(TRIM(I552),4)),
        MATCH(LEFT(TRIM(I552),FIND(" ",TRIM(I552))-1),
          {"January","February","March","April","May","June","July","August","September","October","November","December"},0),
        VALUE(MID(TRIM(I552),
          FIND(" ",TRIM(I552))+1,
          FIND(" ",TRIM(I552),FIND(" ",TRIM(I552))+1)-FIND(" ",TRIM(I552))-1))
      )
    )
  ),
"yyyy-mm-dd")</f>
        <v>2023-04-08</v>
      </c>
      <c r="K552" s="5" t="str">
        <f t="shared" si="68"/>
        <v>Apr</v>
      </c>
      <c r="L552">
        <v>1677149985</v>
      </c>
      <c r="M552" s="11">
        <f t="shared" si="69"/>
        <v>44980.45815972222</v>
      </c>
      <c r="O552" s="7">
        <f t="shared" si="70"/>
        <v>0</v>
      </c>
      <c r="P552" t="s">
        <v>20</v>
      </c>
      <c r="Q552" s="7" t="str">
        <f t="shared" si="71"/>
        <v xml:space="preserve">Great customer </v>
      </c>
    </row>
    <row r="553" spans="1:17">
      <c r="A553">
        <v>1614</v>
      </c>
      <c r="B553" t="s">
        <v>107</v>
      </c>
      <c r="C553" s="9" t="str">
        <f t="shared" si="64"/>
        <v>Fatima Ali</v>
      </c>
      <c r="D553" s="7" t="str">
        <f t="shared" si="65"/>
        <v>Fatima Ali</v>
      </c>
      <c r="E553">
        <v>43</v>
      </c>
      <c r="F553" s="7">
        <f t="shared" si="66"/>
        <v>43</v>
      </c>
      <c r="G553" t="s">
        <v>29</v>
      </c>
      <c r="H553" s="7" t="str">
        <f t="shared" si="67"/>
        <v>United States</v>
      </c>
      <c r="I553" t="s">
        <v>258</v>
      </c>
      <c r="J553" s="7" t="str">
        <f>TEXT(
  IFERROR(
    DATEVALUE(SUBSTITUTE(SUBSTITUTE(TRIM(I553),"T"," "),"Z","")),
    IFERROR(
      DATE(
        RIGHT(TRIM(I553),4),
        MID(TRIM(I553),4,2),
        LEFT(TRIM(I553),2)
      ),
      DATE(
        VALUE(RIGHT(TRIM(I553),4)),
        MATCH(LEFT(TRIM(I553),FIND(" ",TRIM(I553))-1),
          {"January","February","March","April","May","June","July","August","September","October","November","December"},0),
        VALUE(MID(TRIM(I553),
          FIND(" ",TRIM(I553))+1,
          FIND(" ",TRIM(I553),FIND(" ",TRIM(I553))+1)-FIND(" ",TRIM(I553))-1))
      )
    )
  ),
"yyyy-mm-dd")</f>
        <v>2023-08-30</v>
      </c>
      <c r="K553" s="5" t="str">
        <f t="shared" si="68"/>
        <v>Aug</v>
      </c>
      <c r="L553">
        <v>1698064309</v>
      </c>
      <c r="M553" s="11">
        <f t="shared" si="69"/>
        <v>45222.522094907406</v>
      </c>
      <c r="O553" s="7">
        <f t="shared" si="70"/>
        <v>0</v>
      </c>
      <c r="P553" t="s">
        <v>40</v>
      </c>
      <c r="Q553" s="7" t="str">
        <f t="shared" si="71"/>
        <v xml:space="preserve">VIP client </v>
      </c>
    </row>
    <row r="554" spans="1:17">
      <c r="A554">
        <v>1465</v>
      </c>
      <c r="B554" t="s">
        <v>88</v>
      </c>
      <c r="C554" s="9" t="str">
        <f t="shared" si="64"/>
        <v>André Santos</v>
      </c>
      <c r="D554" s="7" t="str">
        <f t="shared" si="65"/>
        <v>André Santos</v>
      </c>
      <c r="E554">
        <v>32</v>
      </c>
      <c r="F554" s="7">
        <f t="shared" si="66"/>
        <v>32</v>
      </c>
      <c r="G554" t="s">
        <v>62</v>
      </c>
      <c r="H554" s="7" t="str">
        <f t="shared" si="67"/>
        <v>Ireland</v>
      </c>
      <c r="I554" t="s">
        <v>237</v>
      </c>
      <c r="J554" s="7" t="str">
        <f>TEXT(
  IFERROR(
    DATEVALUE(SUBSTITUTE(SUBSTITUTE(TRIM(I554),"T"," "),"Z","")),
    IFERROR(
      DATE(
        RIGHT(TRIM(I554),4),
        MID(TRIM(I554),4,2),
        LEFT(TRIM(I554),2)
      ),
      DATE(
        VALUE(RIGHT(TRIM(I554),4)),
        MATCH(LEFT(TRIM(I554),FIND(" ",TRIM(I554))-1),
          {"January","February","March","April","May","June","July","August","September","October","November","December"},0),
        VALUE(MID(TRIM(I554),
          FIND(" ",TRIM(I554))+1,
          FIND(" ",TRIM(I554),FIND(" ",TRIM(I554))+1)-FIND(" ",TRIM(I554))-1))
      )
    )
  ),
"yyyy-mm-dd")</f>
        <v>2023-08-28</v>
      </c>
      <c r="K554" s="5" t="str">
        <f t="shared" si="68"/>
        <v>Aug</v>
      </c>
      <c r="L554">
        <v>1683954638</v>
      </c>
      <c r="M554" s="11">
        <f t="shared" si="69"/>
        <v>45059.215717592597</v>
      </c>
      <c r="O554" s="7">
        <f t="shared" si="70"/>
        <v>0</v>
      </c>
      <c r="P554" t="s">
        <v>40</v>
      </c>
      <c r="Q554" s="7" t="str">
        <f t="shared" si="71"/>
        <v xml:space="preserve">VIP client </v>
      </c>
    </row>
    <row r="555" spans="1:17">
      <c r="A555">
        <v>1048</v>
      </c>
      <c r="B555" t="s">
        <v>166</v>
      </c>
      <c r="C555" s="9" t="str">
        <f t="shared" si="64"/>
        <v>Daniel Kim</v>
      </c>
      <c r="D555" s="7" t="str">
        <f t="shared" si="65"/>
        <v>Daniel Kim</v>
      </c>
      <c r="F555" s="7">
        <f t="shared" si="66"/>
        <v>43</v>
      </c>
      <c r="G555" t="s">
        <v>116</v>
      </c>
      <c r="H555" s="7" t="str">
        <f t="shared" si="67"/>
        <v>China</v>
      </c>
      <c r="I555" t="s">
        <v>405</v>
      </c>
      <c r="J555" s="7" t="str">
        <f>TEXT(
  IFERROR(
    DATEVALUE(SUBSTITUTE(SUBSTITUTE(TRIM(I555),"T"," "),"Z","")),
    IFERROR(
      DATE(
        RIGHT(TRIM(I555),4),
        MID(TRIM(I555),4,2),
        LEFT(TRIM(I555),2)
      ),
      DATE(
        VALUE(RIGHT(TRIM(I555),4)),
        MATCH(LEFT(TRIM(I555),FIND(" ",TRIM(I555))-1),
          {"January","February","March","April","May","June","July","August","September","October","November","December"},0),
        VALUE(MID(TRIM(I555),
          FIND(" ",TRIM(I555))+1,
          FIND(" ",TRIM(I555),FIND(" ",TRIM(I555))+1)-FIND(" ",TRIM(I555))-1))
      )
    )
  ),
"yyyy-mm-dd")</f>
        <v>2023-07-15</v>
      </c>
      <c r="K555" s="5" t="str">
        <f t="shared" si="68"/>
        <v>Jul</v>
      </c>
      <c r="L555">
        <v>1685631574</v>
      </c>
      <c r="M555" s="11">
        <f t="shared" si="69"/>
        <v>45078.624699074076</v>
      </c>
      <c r="O555" s="7">
        <f t="shared" si="70"/>
        <v>0</v>
      </c>
      <c r="P555" t="s">
        <v>40</v>
      </c>
      <c r="Q555" s="7" t="str">
        <f t="shared" si="71"/>
        <v xml:space="preserve">VIP client </v>
      </c>
    </row>
    <row r="556" spans="1:17">
      <c r="A556">
        <v>2001</v>
      </c>
      <c r="B556" t="s">
        <v>94</v>
      </c>
      <c r="C556" s="9" t="str">
        <f t="shared" si="64"/>
        <v>John Smith</v>
      </c>
      <c r="D556" s="7" t="str">
        <f t="shared" si="65"/>
        <v xml:space="preserve"> John Smith </v>
      </c>
      <c r="F556" s="7">
        <f t="shared" si="66"/>
        <v>43</v>
      </c>
      <c r="G556" t="s">
        <v>22</v>
      </c>
      <c r="H556" s="7" t="str">
        <f t="shared" si="67"/>
        <v>Germany</v>
      </c>
      <c r="I556" t="s">
        <v>178</v>
      </c>
      <c r="J556" s="7" t="str">
        <f>TEXT(
  IFERROR(
    DATEVALUE(SUBSTITUTE(SUBSTITUTE(TRIM(I556),"T"," "),"Z","")),
    IFERROR(
      DATE(
        RIGHT(TRIM(I556),4),
        MID(TRIM(I556),4,2),
        LEFT(TRIM(I556),2)
      ),
      DATE(
        VALUE(RIGHT(TRIM(I556),4)),
        MATCH(LEFT(TRIM(I556),FIND(" ",TRIM(I556))-1),
          {"January","February","March","April","May","June","July","August","September","October","November","December"},0),
        VALUE(MID(TRIM(I556),
          FIND(" ",TRIM(I556))+1,
          FIND(" ",TRIM(I556),FIND(" ",TRIM(I556))+1)-FIND(" ",TRIM(I556))-1))
      )
    )
  ),
"yyyy-mm-dd")</f>
        <v>2023-04-30</v>
      </c>
      <c r="K556" s="5" t="str">
        <f t="shared" si="68"/>
        <v>Apr</v>
      </c>
      <c r="L556">
        <v>1694655493</v>
      </c>
      <c r="M556" s="11">
        <f t="shared" si="69"/>
        <v>45183.068206018521</v>
      </c>
      <c r="O556" s="7">
        <f t="shared" si="70"/>
        <v>0</v>
      </c>
      <c r="P556" t="s">
        <v>20</v>
      </c>
      <c r="Q556" s="7" t="str">
        <f t="shared" si="71"/>
        <v xml:space="preserve">Great customer </v>
      </c>
    </row>
    <row r="557" spans="1:17">
      <c r="A557">
        <v>1755</v>
      </c>
      <c r="B557" t="s">
        <v>50</v>
      </c>
      <c r="C557" s="9" t="str">
        <f t="shared" si="64"/>
        <v>Ahmed Hassan</v>
      </c>
      <c r="D557" s="7" t="str">
        <f t="shared" si="65"/>
        <v xml:space="preserve"> Ahmed Hassan </v>
      </c>
      <c r="F557" s="7">
        <f t="shared" si="66"/>
        <v>43</v>
      </c>
      <c r="G557" t="s">
        <v>48</v>
      </c>
      <c r="H557" s="7" t="str">
        <f t="shared" si="67"/>
        <v>France</v>
      </c>
      <c r="I557" t="s">
        <v>561</v>
      </c>
      <c r="J557" s="7" t="str">
        <f>TEXT(
  IFERROR(
    DATEVALUE(SUBSTITUTE(SUBSTITUTE(TRIM(I557),"T"," "),"Z","")),
    IFERROR(
      DATE(
        RIGHT(TRIM(I557),4),
        MID(TRIM(I557),4,2),
        LEFT(TRIM(I557),2)
      ),
      DATE(
        VALUE(RIGHT(TRIM(I557),4)),
        MATCH(LEFT(TRIM(I557),FIND(" ",TRIM(I557))-1),
          {"January","February","March","April","May","June","July","August","September","October","November","December"},0),
        VALUE(MID(TRIM(I557),
          FIND(" ",TRIM(I557))+1,
          FIND(" ",TRIM(I557),FIND(" ",TRIM(I557))+1)-FIND(" ",TRIM(I557))-1))
      )
    )
  ),
"yyyy-mm-dd")</f>
        <v>2023-02-26</v>
      </c>
      <c r="K557" s="5" t="str">
        <f t="shared" si="68"/>
        <v>Feb</v>
      </c>
      <c r="L557">
        <v>1690524376</v>
      </c>
      <c r="M557" s="11">
        <f t="shared" si="69"/>
        <v>45135.254351851851</v>
      </c>
      <c r="N557">
        <v>633.44000000000005</v>
      </c>
      <c r="O557" s="7">
        <f t="shared" si="70"/>
        <v>633.44000000000005</v>
      </c>
      <c r="P557" t="s">
        <v>118</v>
      </c>
      <c r="Q557" s="7" t="str">
        <f t="shared" si="71"/>
        <v>High engagement</v>
      </c>
    </row>
    <row r="558" spans="1:17">
      <c r="A558">
        <v>1940</v>
      </c>
      <c r="B558" t="s">
        <v>85</v>
      </c>
      <c r="C558" s="9" t="str">
        <f t="shared" si="64"/>
        <v>Akira Tanaka</v>
      </c>
      <c r="D558" s="7" t="str">
        <f t="shared" si="65"/>
        <v xml:space="preserve"> Akira Tanaka </v>
      </c>
      <c r="E558">
        <v>27</v>
      </c>
      <c r="F558" s="7">
        <f t="shared" si="66"/>
        <v>27</v>
      </c>
      <c r="G558" t="s">
        <v>116</v>
      </c>
      <c r="H558" s="7" t="str">
        <f t="shared" si="67"/>
        <v>China</v>
      </c>
      <c r="I558" t="s">
        <v>562</v>
      </c>
      <c r="J558" s="7" t="str">
        <f>TEXT(
  IFERROR(
    DATEVALUE(SUBSTITUTE(SUBSTITUTE(TRIM(I558),"T"," "),"Z","")),
    IFERROR(
      DATE(
        RIGHT(TRIM(I558),4),
        MID(TRIM(I558),4,2),
        LEFT(TRIM(I558),2)
      ),
      DATE(
        VALUE(RIGHT(TRIM(I558),4)),
        MATCH(LEFT(TRIM(I558),FIND(" ",TRIM(I558))-1),
          {"January","February","March","April","May","June","July","August","September","October","November","December"},0),
        VALUE(MID(TRIM(I558),
          FIND(" ",TRIM(I558))+1,
          FIND(" ",TRIM(I558),FIND(" ",TRIM(I558))+1)-FIND(" ",TRIM(I558))-1))
      )
    )
  ),
"yyyy-mm-dd")</f>
        <v>2023-11-06</v>
      </c>
      <c r="K558" s="5" t="str">
        <f t="shared" si="68"/>
        <v>Nov</v>
      </c>
      <c r="L558">
        <v>1690168816</v>
      </c>
      <c r="M558" s="11">
        <f t="shared" si="69"/>
        <v>45131.139074074075</v>
      </c>
      <c r="O558" s="7">
        <f t="shared" si="70"/>
        <v>0</v>
      </c>
      <c r="P558" t="s">
        <v>36</v>
      </c>
      <c r="Q558" s="7" t="str">
        <f t="shared" si="71"/>
        <v>Regular shopper</v>
      </c>
    </row>
    <row r="559" spans="1:17">
      <c r="A559">
        <v>1157</v>
      </c>
      <c r="B559" t="s">
        <v>97</v>
      </c>
      <c r="C559" s="9" t="str">
        <f t="shared" si="64"/>
        <v>Björn Larsson</v>
      </c>
      <c r="D559" s="7" t="str">
        <f t="shared" si="65"/>
        <v xml:space="preserve"> Björn Larsson </v>
      </c>
      <c r="F559" s="7">
        <f t="shared" si="66"/>
        <v>43</v>
      </c>
      <c r="G559" t="s">
        <v>48</v>
      </c>
      <c r="H559" s="7" t="str">
        <f t="shared" si="67"/>
        <v>France</v>
      </c>
      <c r="I559" t="s">
        <v>477</v>
      </c>
      <c r="J559" s="7" t="str">
        <f>TEXT(
  IFERROR(
    DATEVALUE(SUBSTITUTE(SUBSTITUTE(TRIM(I559),"T"," "),"Z","")),
    IFERROR(
      DATE(
        RIGHT(TRIM(I559),4),
        MID(TRIM(I559),4,2),
        LEFT(TRIM(I559),2)
      ),
      DATE(
        VALUE(RIGHT(TRIM(I559),4)),
        MATCH(LEFT(TRIM(I559),FIND(" ",TRIM(I559))-1),
          {"January","February","March","April","May","June","July","August","September","October","November","December"},0),
        VALUE(MID(TRIM(I559),
          FIND(" ",TRIM(I559))+1,
          FIND(" ",TRIM(I559),FIND(" ",TRIM(I559))+1)-FIND(" ",TRIM(I559))-1))
      )
    )
  ),
"yyyy-mm-dd")</f>
        <v>2023-05-10</v>
      </c>
      <c r="K559" s="5" t="str">
        <f t="shared" si="68"/>
        <v>May</v>
      </c>
      <c r="L559">
        <v>1689504709</v>
      </c>
      <c r="M559" s="11">
        <f t="shared" si="69"/>
        <v>45123.452650462961</v>
      </c>
      <c r="N559">
        <v>76.510000000000005</v>
      </c>
      <c r="O559" s="7">
        <f t="shared" si="70"/>
        <v>76.510000000000005</v>
      </c>
      <c r="P559" t="s">
        <v>52</v>
      </c>
      <c r="Q559" s="7" t="str">
        <f t="shared" si="71"/>
        <v xml:space="preserve">Prefers email </v>
      </c>
    </row>
    <row r="560" spans="1:17">
      <c r="A560">
        <v>1951</v>
      </c>
      <c r="B560" t="s">
        <v>131</v>
      </c>
      <c r="C560" s="9" t="str">
        <f t="shared" si="64"/>
        <v>Isabella Martinez</v>
      </c>
      <c r="D560" s="7" t="str">
        <f t="shared" si="65"/>
        <v>Isabella Martinez</v>
      </c>
      <c r="E560">
        <v>53</v>
      </c>
      <c r="F560" s="7">
        <f t="shared" si="66"/>
        <v>53</v>
      </c>
      <c r="G560" t="s">
        <v>38</v>
      </c>
      <c r="H560" s="7" t="str">
        <f t="shared" si="67"/>
        <v>Spain</v>
      </c>
      <c r="I560" t="s">
        <v>563</v>
      </c>
      <c r="J560" s="7" t="str">
        <f>TEXT(
  IFERROR(
    DATEVALUE(SUBSTITUTE(SUBSTITUTE(TRIM(I560),"T"," "),"Z","")),
    IFERROR(
      DATE(
        RIGHT(TRIM(I560),4),
        MID(TRIM(I560),4,2),
        LEFT(TRIM(I560),2)
      ),
      DATE(
        VALUE(RIGHT(TRIM(I560),4)),
        MATCH(LEFT(TRIM(I560),FIND(" ",TRIM(I560))-1),
          {"January","February","March","April","May","June","July","August","September","October","November","December"},0),
        VALUE(MID(TRIM(I560),
          FIND(" ",TRIM(I560))+1,
          FIND(" ",TRIM(I560),FIND(" ",TRIM(I560))+1)-FIND(" ",TRIM(I560))-1))
      )
    )
  ),
"yyyy-mm-dd")</f>
        <v>2024-01-01</v>
      </c>
      <c r="K560" s="5" t="str">
        <f t="shared" si="68"/>
        <v>Jan</v>
      </c>
      <c r="L560">
        <v>1677230202</v>
      </c>
      <c r="M560" s="11">
        <f t="shared" si="69"/>
        <v>44981.386597222227</v>
      </c>
      <c r="O560" s="7">
        <f t="shared" si="70"/>
        <v>0</v>
      </c>
      <c r="P560" t="s">
        <v>33</v>
      </c>
      <c r="Q560" s="7" t="str">
        <f t="shared" si="71"/>
        <v>Frequent buyer n</v>
      </c>
    </row>
    <row r="561" spans="1:17">
      <c r="A561">
        <v>1632</v>
      </c>
      <c r="B561" t="s">
        <v>64</v>
      </c>
      <c r="C561" s="9" t="str">
        <f t="shared" si="64"/>
        <v>Ethan Clark</v>
      </c>
      <c r="D561" s="7" t="str">
        <f t="shared" si="65"/>
        <v xml:space="preserve"> Ethan Clark </v>
      </c>
      <c r="F561" s="7">
        <f t="shared" si="66"/>
        <v>43</v>
      </c>
      <c r="G561" t="s">
        <v>22</v>
      </c>
      <c r="H561" s="7" t="str">
        <f t="shared" si="67"/>
        <v>Germany</v>
      </c>
      <c r="I561" t="s">
        <v>564</v>
      </c>
      <c r="J561" s="7" t="str">
        <f>TEXT(
  IFERROR(
    DATEVALUE(SUBSTITUTE(SUBSTITUTE(TRIM(I561),"T"," "),"Z","")),
    IFERROR(
      DATE(
        RIGHT(TRIM(I561),4),
        MID(TRIM(I561),4,2),
        LEFT(TRIM(I561),2)
      ),
      DATE(
        VALUE(RIGHT(TRIM(I561),4)),
        MATCH(LEFT(TRIM(I561),FIND(" ",TRIM(I561))-1),
          {"January","February","March","April","May","June","July","August","September","October","November","December"},0),
        VALUE(MID(TRIM(I561),
          FIND(" ",TRIM(I561))+1,
          FIND(" ",TRIM(I561),FIND(" ",TRIM(I561))+1)-FIND(" ",TRIM(I561))-1))
      )
    )
  ),
"yyyy-mm-dd")</f>
        <v>2023-08-05</v>
      </c>
      <c r="K561" s="5" t="str">
        <f t="shared" si="68"/>
        <v>Aug</v>
      </c>
      <c r="L561">
        <v>1703016804</v>
      </c>
      <c r="M561" s="11">
        <f t="shared" si="69"/>
        <v>45279.842638888891</v>
      </c>
      <c r="N561">
        <v>365.43</v>
      </c>
      <c r="O561" s="7">
        <f t="shared" si="70"/>
        <v>365.43</v>
      </c>
      <c r="P561" t="s">
        <v>20</v>
      </c>
      <c r="Q561" s="7" t="str">
        <f t="shared" si="71"/>
        <v xml:space="preserve">Great customer </v>
      </c>
    </row>
    <row r="562" spans="1:17">
      <c r="A562">
        <v>1864</v>
      </c>
      <c r="B562" t="s">
        <v>17</v>
      </c>
      <c r="C562" s="9" t="str">
        <f t="shared" si="64"/>
        <v>John Smith</v>
      </c>
      <c r="D562" s="7" t="str">
        <f t="shared" si="65"/>
        <v>John Smith</v>
      </c>
      <c r="E562">
        <v>30</v>
      </c>
      <c r="F562" s="7">
        <f t="shared" si="66"/>
        <v>30</v>
      </c>
      <c r="G562" t="s">
        <v>29</v>
      </c>
      <c r="H562" s="7" t="str">
        <f t="shared" si="67"/>
        <v>United States</v>
      </c>
      <c r="I562" t="s">
        <v>565</v>
      </c>
      <c r="J562" s="7" t="str">
        <f>TEXT(
  IFERROR(
    DATEVALUE(SUBSTITUTE(SUBSTITUTE(TRIM(I562),"T"," "),"Z","")),
    IFERROR(
      DATE(
        RIGHT(TRIM(I562),4),
        MID(TRIM(I562),4,2),
        LEFT(TRIM(I562),2)
      ),
      DATE(
        VALUE(RIGHT(TRIM(I562),4)),
        MATCH(LEFT(TRIM(I562),FIND(" ",TRIM(I562))-1),
          {"January","February","March","April","May","June","July","August","September","October","November","December"},0),
        VALUE(MID(TRIM(I562),
          FIND(" ",TRIM(I562))+1,
          FIND(" ",TRIM(I562),FIND(" ",TRIM(I562))+1)-FIND(" ",TRIM(I562))-1))
      )
    )
  ),
"yyyy-mm-dd")</f>
        <v>2023-04-23</v>
      </c>
      <c r="K562" s="5" t="str">
        <f t="shared" si="68"/>
        <v>Apr</v>
      </c>
      <c r="L562">
        <v>1699264337</v>
      </c>
      <c r="M562" s="11">
        <f t="shared" si="69"/>
        <v>45236.411307870367</v>
      </c>
      <c r="N562">
        <v>1254.72</v>
      </c>
      <c r="O562" s="7">
        <f t="shared" si="70"/>
        <v>1254.72</v>
      </c>
      <c r="P562" t="s">
        <v>33</v>
      </c>
      <c r="Q562" s="7" t="str">
        <f t="shared" si="71"/>
        <v>Frequent buyer n</v>
      </c>
    </row>
    <row r="563" spans="1:17">
      <c r="A563">
        <v>1476</v>
      </c>
      <c r="B563" t="s">
        <v>21</v>
      </c>
      <c r="C563" s="9" t="str">
        <f t="shared" si="64"/>
        <v>David Brown</v>
      </c>
      <c r="D563" s="7" t="str">
        <f t="shared" si="65"/>
        <v xml:space="preserve"> David Brown </v>
      </c>
      <c r="E563">
        <v>38</v>
      </c>
      <c r="F563" s="7">
        <f t="shared" si="66"/>
        <v>38</v>
      </c>
      <c r="G563" t="s">
        <v>116</v>
      </c>
      <c r="H563" s="7" t="str">
        <f t="shared" si="67"/>
        <v>China</v>
      </c>
      <c r="I563" t="s">
        <v>566</v>
      </c>
      <c r="J563" s="7" t="str">
        <f>TEXT(
  IFERROR(
    DATEVALUE(SUBSTITUTE(SUBSTITUTE(TRIM(I563),"T"," "),"Z","")),
    IFERROR(
      DATE(
        RIGHT(TRIM(I563),4),
        MID(TRIM(I563),4,2),
        LEFT(TRIM(I563),2)
      ),
      DATE(
        VALUE(RIGHT(TRIM(I563),4)),
        MATCH(LEFT(TRIM(I563),FIND(" ",TRIM(I563))-1),
          {"January","February","March","April","May","June","July","August","September","October","November","December"},0),
        VALUE(MID(TRIM(I563),
          FIND(" ",TRIM(I563))+1,
          FIND(" ",TRIM(I563),FIND(" ",TRIM(I563))+1)-FIND(" ",TRIM(I563))-1))
      )
    )
  ),
"yyyy-mm-dd")</f>
        <v>2023-01-12</v>
      </c>
      <c r="K563" s="5" t="str">
        <f t="shared" si="68"/>
        <v>Jan</v>
      </c>
      <c r="L563">
        <v>1672926028</v>
      </c>
      <c r="M563" s="11">
        <f t="shared" si="69"/>
        <v>44931.569768518515</v>
      </c>
      <c r="O563" s="7">
        <f t="shared" si="70"/>
        <v>0</v>
      </c>
      <c r="P563" t="s">
        <v>40</v>
      </c>
      <c r="Q563" s="7" t="str">
        <f t="shared" si="71"/>
        <v xml:space="preserve">VIP client </v>
      </c>
    </row>
    <row r="564" spans="1:17">
      <c r="A564">
        <v>1139</v>
      </c>
      <c r="B564" t="s">
        <v>195</v>
      </c>
      <c r="C564" s="9" t="str">
        <f t="shared" si="64"/>
        <v>Lucas Silva</v>
      </c>
      <c r="D564" s="7" t="str">
        <f t="shared" si="65"/>
        <v xml:space="preserve"> Lucas Silva </v>
      </c>
      <c r="F564" s="7">
        <f t="shared" si="66"/>
        <v>43</v>
      </c>
      <c r="G564" t="s">
        <v>67</v>
      </c>
      <c r="H564" s="7" t="str">
        <f t="shared" si="67"/>
        <v>Sweden</v>
      </c>
      <c r="I564" t="s">
        <v>567</v>
      </c>
      <c r="J564" s="7" t="str">
        <f>TEXT(
  IFERROR(
    DATEVALUE(SUBSTITUTE(SUBSTITUTE(TRIM(I564),"T"," "),"Z","")),
    IFERROR(
      DATE(
        RIGHT(TRIM(I564),4),
        MID(TRIM(I564),4,2),
        LEFT(TRIM(I564),2)
      ),
      DATE(
        VALUE(RIGHT(TRIM(I564),4)),
        MATCH(LEFT(TRIM(I564),FIND(" ",TRIM(I564))-1),
          {"January","February","March","April","May","June","July","August","September","October","November","December"},0),
        VALUE(MID(TRIM(I564),
          FIND(" ",TRIM(I564))+1,
          FIND(" ",TRIM(I564),FIND(" ",TRIM(I564))+1)-FIND(" ",TRIM(I564))-1))
      )
    )
  ),
"yyyy-mm-dd")</f>
        <v>2023-11-24</v>
      </c>
      <c r="K564" s="5" t="str">
        <f t="shared" si="68"/>
        <v>Nov</v>
      </c>
      <c r="L564">
        <v>1689415973</v>
      </c>
      <c r="M564" s="11">
        <f t="shared" si="69"/>
        <v>45122.425613425927</v>
      </c>
      <c r="N564">
        <v>885.33</v>
      </c>
      <c r="O564" s="7">
        <f t="shared" si="70"/>
        <v>885.33</v>
      </c>
      <c r="P564" t="s">
        <v>40</v>
      </c>
      <c r="Q564" s="7" t="str">
        <f t="shared" si="71"/>
        <v xml:space="preserve">VIP client </v>
      </c>
    </row>
    <row r="565" spans="1:17">
      <c r="A565">
        <v>1044</v>
      </c>
      <c r="B565" t="s">
        <v>183</v>
      </c>
      <c r="C565" s="9" t="str">
        <f t="shared" si="64"/>
        <v>Mia Thompson</v>
      </c>
      <c r="D565" s="7" t="str">
        <f t="shared" si="65"/>
        <v>Mia Thompson</v>
      </c>
      <c r="E565">
        <v>25</v>
      </c>
      <c r="F565" s="7">
        <f t="shared" si="66"/>
        <v>25</v>
      </c>
      <c r="G565" t="s">
        <v>44</v>
      </c>
      <c r="H565" s="7" t="str">
        <f t="shared" si="67"/>
        <v>UAE</v>
      </c>
      <c r="I565" t="s">
        <v>438</v>
      </c>
      <c r="J565" s="7" t="str">
        <f>TEXT(
  IFERROR(
    DATEVALUE(SUBSTITUTE(SUBSTITUTE(TRIM(I565),"T"," "),"Z","")),
    IFERROR(
      DATE(
        RIGHT(TRIM(I565),4),
        MID(TRIM(I565),4,2),
        LEFT(TRIM(I565),2)
      ),
      DATE(
        VALUE(RIGHT(TRIM(I565),4)),
        MATCH(LEFT(TRIM(I565),FIND(" ",TRIM(I565))-1),
          {"January","February","March","April","May","June","July","August","September","October","November","December"},0),
        VALUE(MID(TRIM(I565),
          FIND(" ",TRIM(I565))+1,
          FIND(" ",TRIM(I565),FIND(" ",TRIM(I565))+1)-FIND(" ",TRIM(I565))-1))
      )
    )
  ),
"yyyy-mm-dd")</f>
        <v>2023-05-05</v>
      </c>
      <c r="K565" s="5" t="str">
        <f t="shared" si="68"/>
        <v>May</v>
      </c>
      <c r="L565">
        <v>1675187874</v>
      </c>
      <c r="M565" s="11">
        <f t="shared" si="69"/>
        <v>44957.748541666668</v>
      </c>
      <c r="O565" s="7">
        <f t="shared" si="70"/>
        <v>0</v>
      </c>
      <c r="P565" t="s">
        <v>36</v>
      </c>
      <c r="Q565" s="7" t="str">
        <f t="shared" si="71"/>
        <v>Regular shopper</v>
      </c>
    </row>
    <row r="566" spans="1:17">
      <c r="A566">
        <v>1608</v>
      </c>
      <c r="B566" t="s">
        <v>21</v>
      </c>
      <c r="C566" s="9" t="str">
        <f t="shared" si="64"/>
        <v>David Brown</v>
      </c>
      <c r="D566" s="7" t="str">
        <f t="shared" si="65"/>
        <v xml:space="preserve"> David Brown </v>
      </c>
      <c r="E566">
        <v>31</v>
      </c>
      <c r="F566" s="7">
        <f t="shared" si="66"/>
        <v>31</v>
      </c>
      <c r="G566" t="s">
        <v>38</v>
      </c>
      <c r="H566" s="7" t="str">
        <f t="shared" si="67"/>
        <v>Spain</v>
      </c>
      <c r="I566" t="s">
        <v>568</v>
      </c>
      <c r="J566" s="7" t="str">
        <f>TEXT(
  IFERROR(
    DATEVALUE(SUBSTITUTE(SUBSTITUTE(TRIM(I566),"T"," "),"Z","")),
    IFERROR(
      DATE(
        RIGHT(TRIM(I566),4),
        MID(TRIM(I566),4,2),
        LEFT(TRIM(I566),2)
      ),
      DATE(
        VALUE(RIGHT(TRIM(I566),4)),
        MATCH(LEFT(TRIM(I566),FIND(" ",TRIM(I566))-1),
          {"January","February","March","April","May","June","July","August","September","October","November","December"},0),
        VALUE(MID(TRIM(I566),
          FIND(" ",TRIM(I566))+1,
          FIND(" ",TRIM(I566),FIND(" ",TRIM(I566))+1)-FIND(" ",TRIM(I566))-1))
      )
    )
  ),
"yyyy-mm-dd")</f>
        <v>2023-11-03</v>
      </c>
      <c r="K566" s="5" t="str">
        <f t="shared" si="68"/>
        <v>Nov</v>
      </c>
      <c r="L566">
        <v>1697329302</v>
      </c>
      <c r="M566" s="11">
        <f t="shared" si="69"/>
        <v>45214.015069444446</v>
      </c>
      <c r="N566">
        <v>1317.22</v>
      </c>
      <c r="O566" s="7">
        <f t="shared" si="70"/>
        <v>1317.22</v>
      </c>
      <c r="P566" t="s">
        <v>58</v>
      </c>
      <c r="Q566" s="7" t="str">
        <f t="shared" si="71"/>
        <v>Student account</v>
      </c>
    </row>
    <row r="567" spans="1:17">
      <c r="A567">
        <v>1651</v>
      </c>
      <c r="B567" t="s">
        <v>185</v>
      </c>
      <c r="C567" s="9" t="str">
        <f t="shared" si="64"/>
        <v>Liam O’Connor</v>
      </c>
      <c r="D567" s="7" t="str">
        <f t="shared" si="65"/>
        <v>Liam O’Connor</v>
      </c>
      <c r="F567" s="7">
        <f t="shared" si="66"/>
        <v>43</v>
      </c>
      <c r="G567" t="s">
        <v>102</v>
      </c>
      <c r="H567" s="7" t="str">
        <f t="shared" si="67"/>
        <v>Mexico</v>
      </c>
      <c r="I567" t="s">
        <v>569</v>
      </c>
      <c r="J567" s="7" t="str">
        <f>TEXT(
  IFERROR(
    DATEVALUE(SUBSTITUTE(SUBSTITUTE(TRIM(I567),"T"," "),"Z","")),
    IFERROR(
      DATE(
        RIGHT(TRIM(I567),4),
        MID(TRIM(I567),4,2),
        LEFT(TRIM(I567),2)
      ),
      DATE(
        VALUE(RIGHT(TRIM(I567),4)),
        MATCH(LEFT(TRIM(I567),FIND(" ",TRIM(I567))-1),
          {"January","February","March","April","May","June","July","August","September","October","November","December"},0),
        VALUE(MID(TRIM(I567),
          FIND(" ",TRIM(I567))+1,
          FIND(" ",TRIM(I567),FIND(" ",TRIM(I567))+1)-FIND(" ",TRIM(I567))-1))
      )
    )
  ),
"yyyy-mm-dd")</f>
        <v>2023-01-13</v>
      </c>
      <c r="K567" s="5" t="str">
        <f t="shared" si="68"/>
        <v>Jan</v>
      </c>
      <c r="L567">
        <v>1700942417</v>
      </c>
      <c r="M567" s="11">
        <f t="shared" si="69"/>
        <v>45255.833530092597</v>
      </c>
      <c r="O567" s="7">
        <f t="shared" si="70"/>
        <v>0</v>
      </c>
      <c r="P567" t="s">
        <v>40</v>
      </c>
      <c r="Q567" s="7" t="str">
        <f t="shared" si="71"/>
        <v xml:space="preserve">VIP client </v>
      </c>
    </row>
    <row r="568" spans="1:17">
      <c r="A568">
        <v>1422</v>
      </c>
      <c r="B568" t="s">
        <v>143</v>
      </c>
      <c r="C568" s="9" t="str">
        <f t="shared" si="64"/>
        <v>Chloe Dubois</v>
      </c>
      <c r="D568" s="7" t="str">
        <f t="shared" si="65"/>
        <v xml:space="preserve"> Chloe Dubois </v>
      </c>
      <c r="E568">
        <v>33</v>
      </c>
      <c r="F568" s="7">
        <f t="shared" si="66"/>
        <v>33</v>
      </c>
      <c r="G568" t="s">
        <v>38</v>
      </c>
      <c r="H568" s="7" t="str">
        <f t="shared" si="67"/>
        <v>Spain</v>
      </c>
      <c r="I568" t="s">
        <v>570</v>
      </c>
      <c r="J568" s="7" t="str">
        <f>TEXT(
  IFERROR(
    DATEVALUE(SUBSTITUTE(SUBSTITUTE(TRIM(I568),"T"," "),"Z","")),
    IFERROR(
      DATE(
        RIGHT(TRIM(I568),4),
        MID(TRIM(I568),4,2),
        LEFT(TRIM(I568),2)
      ),
      DATE(
        VALUE(RIGHT(TRIM(I568),4)),
        MATCH(LEFT(TRIM(I568),FIND(" ",TRIM(I568))-1),
          {"January","February","March","April","May","June","July","August","September","October","November","December"},0),
        VALUE(MID(TRIM(I568),
          FIND(" ",TRIM(I568))+1,
          FIND(" ",TRIM(I568),FIND(" ",TRIM(I568))+1)-FIND(" ",TRIM(I568))-1))
      )
    )
  ),
"yyyy-mm-dd")</f>
        <v>2023-11-08</v>
      </c>
      <c r="K568" s="5" t="str">
        <f t="shared" si="68"/>
        <v>Nov</v>
      </c>
      <c r="L568">
        <v>1690021694</v>
      </c>
      <c r="M568" s="11">
        <f t="shared" si="69"/>
        <v>45129.436273148152</v>
      </c>
      <c r="O568" s="7">
        <f t="shared" si="70"/>
        <v>0</v>
      </c>
      <c r="P568" t="s">
        <v>20</v>
      </c>
      <c r="Q568" s="7" t="str">
        <f t="shared" si="71"/>
        <v xml:space="preserve">Great customer </v>
      </c>
    </row>
    <row r="569" spans="1:17">
      <c r="A569">
        <v>2040</v>
      </c>
      <c r="B569" t="s">
        <v>47</v>
      </c>
      <c r="C569" s="9" t="str">
        <f t="shared" si="64"/>
        <v>Li Wei</v>
      </c>
      <c r="D569" s="7" t="str">
        <f t="shared" si="65"/>
        <v>Li Wei</v>
      </c>
      <c r="E569">
        <v>47</v>
      </c>
      <c r="F569" s="7">
        <f t="shared" si="66"/>
        <v>47</v>
      </c>
      <c r="G569" t="s">
        <v>22</v>
      </c>
      <c r="H569" s="7" t="str">
        <f t="shared" si="67"/>
        <v>Germany</v>
      </c>
      <c r="I569" t="s">
        <v>571</v>
      </c>
      <c r="J569" s="7" t="str">
        <f>TEXT(
  IFERROR(
    DATEVALUE(SUBSTITUTE(SUBSTITUTE(TRIM(I569),"T"," "),"Z","")),
    IFERROR(
      DATE(
        RIGHT(TRIM(I569),4),
        MID(TRIM(I569),4,2),
        LEFT(TRIM(I569),2)
      ),
      DATE(
        VALUE(RIGHT(TRIM(I569),4)),
        MATCH(LEFT(TRIM(I569),FIND(" ",TRIM(I569))-1),
          {"January","February","March","April","May","June","July","August","September","October","November","December"},0),
        VALUE(MID(TRIM(I569),
          FIND(" ",TRIM(I569))+1,
          FIND(" ",TRIM(I569),FIND(" ",TRIM(I569))+1)-FIND(" ",TRIM(I569))-1))
      )
    )
  ),
"yyyy-mm-dd")</f>
        <v>2023-05-06</v>
      </c>
      <c r="K569" s="5" t="str">
        <f t="shared" si="68"/>
        <v>May</v>
      </c>
      <c r="L569">
        <v>1678444193</v>
      </c>
      <c r="M569" s="11">
        <f t="shared" si="69"/>
        <v>44995.437418981484</v>
      </c>
      <c r="O569" s="7">
        <f t="shared" si="70"/>
        <v>0</v>
      </c>
      <c r="P569" t="s">
        <v>58</v>
      </c>
      <c r="Q569" s="7" t="str">
        <f t="shared" si="71"/>
        <v>Student account</v>
      </c>
    </row>
    <row r="570" spans="1:17">
      <c r="A570">
        <v>2035</v>
      </c>
      <c r="B570" t="s">
        <v>183</v>
      </c>
      <c r="C570" s="9" t="str">
        <f t="shared" si="64"/>
        <v>Mia Thompson</v>
      </c>
      <c r="D570" s="7" t="str">
        <f t="shared" si="65"/>
        <v>Mia Thompson</v>
      </c>
      <c r="E570">
        <v>27</v>
      </c>
      <c r="F570" s="7">
        <f t="shared" si="66"/>
        <v>27</v>
      </c>
      <c r="G570" t="s">
        <v>116</v>
      </c>
      <c r="H570" s="7" t="str">
        <f t="shared" si="67"/>
        <v>China</v>
      </c>
      <c r="I570" t="s">
        <v>572</v>
      </c>
      <c r="J570" s="7" t="str">
        <f>TEXT(
  IFERROR(
    DATEVALUE(SUBSTITUTE(SUBSTITUTE(TRIM(I570),"T"," "),"Z","")),
    IFERROR(
      DATE(
        RIGHT(TRIM(I570),4),
        MID(TRIM(I570),4,2),
        LEFT(TRIM(I570),2)
      ),
      DATE(
        VALUE(RIGHT(TRIM(I570),4)),
        MATCH(LEFT(TRIM(I570),FIND(" ",TRIM(I570))-1),
          {"January","February","March","April","May","June","July","August","September","October","November","December"},0),
        VALUE(MID(TRIM(I570),
          FIND(" ",TRIM(I570))+1,
          FIND(" ",TRIM(I570),FIND(" ",TRIM(I570))+1)-FIND(" ",TRIM(I570))-1))
      )
    )
  ),
"yyyy-mm-dd")</f>
        <v>2023-08-07</v>
      </c>
      <c r="K570" s="5" t="str">
        <f t="shared" si="68"/>
        <v>Aug</v>
      </c>
      <c r="L570">
        <v>1697987059</v>
      </c>
      <c r="M570" s="11">
        <f t="shared" si="69"/>
        <v>45221.62799768518</v>
      </c>
      <c r="O570" s="7">
        <f t="shared" si="70"/>
        <v>0</v>
      </c>
      <c r="P570" t="s">
        <v>27</v>
      </c>
      <c r="Q570" s="7" t="str">
        <f t="shared" si="71"/>
        <v xml:space="preserve">Holiday signup </v>
      </c>
    </row>
    <row r="571" spans="1:17">
      <c r="A571">
        <v>2101</v>
      </c>
      <c r="B571" t="s">
        <v>56</v>
      </c>
      <c r="C571" s="9" t="str">
        <f t="shared" si="64"/>
        <v>Carlos García</v>
      </c>
      <c r="D571" s="7" t="str">
        <f t="shared" si="65"/>
        <v>Carlos García</v>
      </c>
      <c r="F571" s="7">
        <f t="shared" si="66"/>
        <v>43</v>
      </c>
      <c r="G571" t="s">
        <v>111</v>
      </c>
      <c r="H571" s="7" t="str">
        <f t="shared" si="67"/>
        <v>South Korea</v>
      </c>
      <c r="I571" t="s">
        <v>573</v>
      </c>
      <c r="J571" s="7" t="str">
        <f>TEXT(
  IFERROR(
    DATEVALUE(SUBSTITUTE(SUBSTITUTE(TRIM(I571),"T"," "),"Z","")),
    IFERROR(
      DATE(
        RIGHT(TRIM(I571),4),
        MID(TRIM(I571),4,2),
        LEFT(TRIM(I571),2)
      ),
      DATE(
        VALUE(RIGHT(TRIM(I571),4)),
        MATCH(LEFT(TRIM(I571),FIND(" ",TRIM(I571))-1),
          {"January","February","March","April","May","June","July","August","September","October","November","December"},0),
        VALUE(MID(TRIM(I571),
          FIND(" ",TRIM(I571))+1,
          FIND(" ",TRIM(I571),FIND(" ",TRIM(I571))+1)-FIND(" ",TRIM(I571))-1))
      )
    )
  ),
"yyyy-mm-dd")</f>
        <v>2023-06-06</v>
      </c>
      <c r="K571" s="5" t="str">
        <f t="shared" si="68"/>
        <v>Jun</v>
      </c>
      <c r="L571">
        <v>1682027479</v>
      </c>
      <c r="M571" s="11">
        <f t="shared" si="69"/>
        <v>45036.910636574074</v>
      </c>
      <c r="O571" s="7">
        <f t="shared" si="70"/>
        <v>0</v>
      </c>
      <c r="P571" t="s">
        <v>52</v>
      </c>
      <c r="Q571" s="7" t="str">
        <f t="shared" si="71"/>
        <v xml:space="preserve">Prefers email </v>
      </c>
    </row>
    <row r="572" spans="1:17">
      <c r="A572">
        <v>1683</v>
      </c>
      <c r="B572" t="s">
        <v>56</v>
      </c>
      <c r="C572" s="9" t="str">
        <f t="shared" si="64"/>
        <v>Carlos García</v>
      </c>
      <c r="D572" s="7" t="str">
        <f t="shared" si="65"/>
        <v>Carlos García</v>
      </c>
      <c r="E572">
        <v>30</v>
      </c>
      <c r="F572" s="7">
        <f t="shared" si="66"/>
        <v>30</v>
      </c>
      <c r="G572" t="s">
        <v>29</v>
      </c>
      <c r="H572" s="7" t="str">
        <f t="shared" si="67"/>
        <v>United States</v>
      </c>
      <c r="I572" t="s">
        <v>574</v>
      </c>
      <c r="J572" s="7" t="str">
        <f>TEXT(
  IFERROR(
    DATEVALUE(SUBSTITUTE(SUBSTITUTE(TRIM(I572),"T"," "),"Z","")),
    IFERROR(
      DATE(
        RIGHT(TRIM(I572),4),
        MID(TRIM(I572),4,2),
        LEFT(TRIM(I572),2)
      ),
      DATE(
        VALUE(RIGHT(TRIM(I572),4)),
        MATCH(LEFT(TRIM(I572),FIND(" ",TRIM(I572))-1),
          {"January","February","March","April","May","June","July","August","September","October","November","December"},0),
        VALUE(MID(TRIM(I572),
          FIND(" ",TRIM(I572))+1,
          FIND(" ",TRIM(I572),FIND(" ",TRIM(I572))+1)-FIND(" ",TRIM(I572))-1))
      )
    )
  ),
"yyyy-mm-dd")</f>
        <v>2023-01-07</v>
      </c>
      <c r="K572" s="5" t="str">
        <f t="shared" si="68"/>
        <v>Jan</v>
      </c>
      <c r="L572">
        <v>1697031104</v>
      </c>
      <c r="M572" s="11">
        <f t="shared" si="69"/>
        <v>45210.563703703709</v>
      </c>
      <c r="O572" s="7">
        <f t="shared" si="70"/>
        <v>0</v>
      </c>
      <c r="P572" t="s">
        <v>118</v>
      </c>
      <c r="Q572" s="7" t="str">
        <f t="shared" si="71"/>
        <v>High engagement</v>
      </c>
    </row>
    <row r="573" spans="1:17">
      <c r="A573">
        <v>1789</v>
      </c>
      <c r="B573" t="s">
        <v>164</v>
      </c>
      <c r="C573" s="9" t="str">
        <f t="shared" si="64"/>
        <v>Daniel Kim</v>
      </c>
      <c r="D573" s="7" t="str">
        <f t="shared" si="65"/>
        <v xml:space="preserve"> Daniel Kim </v>
      </c>
      <c r="E573">
        <v>34</v>
      </c>
      <c r="F573" s="7">
        <f t="shared" si="66"/>
        <v>34</v>
      </c>
      <c r="G573" t="s">
        <v>122</v>
      </c>
      <c r="H573" s="7" t="str">
        <f t="shared" si="67"/>
        <v>Italy</v>
      </c>
      <c r="I573" t="s">
        <v>575</v>
      </c>
      <c r="J573" s="7" t="str">
        <f>TEXT(
  IFERROR(
    DATEVALUE(SUBSTITUTE(SUBSTITUTE(TRIM(I573),"T"," "),"Z","")),
    IFERROR(
      DATE(
        RIGHT(TRIM(I573),4),
        MID(TRIM(I573),4,2),
        LEFT(TRIM(I573),2)
      ),
      DATE(
        VALUE(RIGHT(TRIM(I573),4)),
        MATCH(LEFT(TRIM(I573),FIND(" ",TRIM(I573))-1),
          {"January","February","March","April","May","June","July","August","September","October","November","December"},0),
        VALUE(MID(TRIM(I573),
          FIND(" ",TRIM(I573))+1,
          FIND(" ",TRIM(I573),FIND(" ",TRIM(I573))+1)-FIND(" ",TRIM(I573))-1))
      )
    )
  ),
"yyyy-mm-dd")</f>
        <v>2023-09-18</v>
      </c>
      <c r="K573" s="5" t="str">
        <f t="shared" si="68"/>
        <v>Sep</v>
      </c>
      <c r="L573">
        <v>1693830384</v>
      </c>
      <c r="M573" s="11">
        <f t="shared" si="69"/>
        <v>45173.518333333333</v>
      </c>
      <c r="N573">
        <v>1035.8499999999999</v>
      </c>
      <c r="O573" s="7">
        <f t="shared" si="70"/>
        <v>1035.8499999999999</v>
      </c>
      <c r="P573" t="s">
        <v>118</v>
      </c>
      <c r="Q573" s="7" t="str">
        <f t="shared" si="71"/>
        <v>High engagement</v>
      </c>
    </row>
    <row r="574" spans="1:17">
      <c r="A574">
        <v>1869</v>
      </c>
      <c r="B574" t="s">
        <v>187</v>
      </c>
      <c r="C574" s="9" t="str">
        <f t="shared" si="64"/>
        <v>André Santos</v>
      </c>
      <c r="D574" s="7" t="str">
        <f t="shared" si="65"/>
        <v xml:space="preserve"> André Santos </v>
      </c>
      <c r="F574" s="7">
        <f t="shared" si="66"/>
        <v>43</v>
      </c>
      <c r="G574" t="s">
        <v>29</v>
      </c>
      <c r="H574" s="7" t="str">
        <f t="shared" si="67"/>
        <v>United States</v>
      </c>
      <c r="I574" t="s">
        <v>576</v>
      </c>
      <c r="J574" s="7" t="str">
        <f>TEXT(
  IFERROR(
    DATEVALUE(SUBSTITUTE(SUBSTITUTE(TRIM(I574),"T"," "),"Z","")),
    IFERROR(
      DATE(
        RIGHT(TRIM(I574),4),
        MID(TRIM(I574),4,2),
        LEFT(TRIM(I574),2)
      ),
      DATE(
        VALUE(RIGHT(TRIM(I574),4)),
        MATCH(LEFT(TRIM(I574),FIND(" ",TRIM(I574))-1),
          {"January","February","March","April","May","June","July","August","September","October","November","December"},0),
        VALUE(MID(TRIM(I574),
          FIND(" ",TRIM(I574))+1,
          FIND(" ",TRIM(I574),FIND(" ",TRIM(I574))+1)-FIND(" ",TRIM(I574))-1))
      )
    )
  ),
"yyyy-mm-dd")</f>
        <v>2023-12-24</v>
      </c>
      <c r="K574" s="5" t="str">
        <f t="shared" si="68"/>
        <v>Dec</v>
      </c>
      <c r="L574">
        <v>1681292803</v>
      </c>
      <c r="M574" s="11">
        <f t="shared" si="69"/>
        <v>45028.407442129625</v>
      </c>
      <c r="N574">
        <v>912.1</v>
      </c>
      <c r="O574" s="7">
        <f t="shared" si="70"/>
        <v>912.1</v>
      </c>
      <c r="P574" t="s">
        <v>58</v>
      </c>
      <c r="Q574" s="7" t="str">
        <f t="shared" si="71"/>
        <v>Student account</v>
      </c>
    </row>
    <row r="575" spans="1:17">
      <c r="A575">
        <v>1387</v>
      </c>
      <c r="B575" t="s">
        <v>53</v>
      </c>
      <c r="C575" s="9" t="str">
        <f t="shared" si="64"/>
        <v>Sofia Rossi</v>
      </c>
      <c r="D575" s="7" t="str">
        <f t="shared" si="65"/>
        <v xml:space="preserve"> Sofia Rossi </v>
      </c>
      <c r="E575">
        <v>34</v>
      </c>
      <c r="F575" s="7">
        <f t="shared" si="66"/>
        <v>34</v>
      </c>
      <c r="G575" t="s">
        <v>102</v>
      </c>
      <c r="H575" s="7" t="str">
        <f t="shared" si="67"/>
        <v>Mexico</v>
      </c>
      <c r="I575" t="s">
        <v>510</v>
      </c>
      <c r="J575" s="7" t="str">
        <f>TEXT(
  IFERROR(
    DATEVALUE(SUBSTITUTE(SUBSTITUTE(TRIM(I575),"T"," "),"Z","")),
    IFERROR(
      DATE(
        RIGHT(TRIM(I575),4),
        MID(TRIM(I575),4,2),
        LEFT(TRIM(I575),2)
      ),
      DATE(
        VALUE(RIGHT(TRIM(I575),4)),
        MATCH(LEFT(TRIM(I575),FIND(" ",TRIM(I575))-1),
          {"January","February","March","April","May","June","July","August","September","October","November","December"},0),
        VALUE(MID(TRIM(I575),
          FIND(" ",TRIM(I575))+1,
          FIND(" ",TRIM(I575),FIND(" ",TRIM(I575))+1)-FIND(" ",TRIM(I575))-1))
      )
    )
  ),
"yyyy-mm-dd")</f>
        <v>2023-09-14</v>
      </c>
      <c r="K575" s="5" t="str">
        <f t="shared" si="68"/>
        <v>Sep</v>
      </c>
      <c r="L575">
        <v>1694619125</v>
      </c>
      <c r="M575" s="11">
        <f t="shared" si="69"/>
        <v>45182.647280092591</v>
      </c>
      <c r="O575" s="7">
        <f t="shared" si="70"/>
        <v>0</v>
      </c>
      <c r="P575" t="s">
        <v>118</v>
      </c>
      <c r="Q575" s="7" t="str">
        <f t="shared" si="71"/>
        <v>High engagement</v>
      </c>
    </row>
    <row r="576" spans="1:17">
      <c r="A576">
        <v>1838</v>
      </c>
      <c r="B576" t="s">
        <v>210</v>
      </c>
      <c r="C576" s="9" t="str">
        <f t="shared" si="64"/>
        <v>Ethan Clark</v>
      </c>
      <c r="D576" s="7" t="str">
        <f t="shared" si="65"/>
        <v>Ethan Clark</v>
      </c>
      <c r="E576">
        <v>24</v>
      </c>
      <c r="F576" s="7">
        <f t="shared" si="66"/>
        <v>24</v>
      </c>
      <c r="G576" t="s">
        <v>48</v>
      </c>
      <c r="H576" s="7" t="str">
        <f t="shared" si="67"/>
        <v>France</v>
      </c>
      <c r="I576" t="s">
        <v>577</v>
      </c>
      <c r="J576" s="7" t="str">
        <f>TEXT(
  IFERROR(
    DATEVALUE(SUBSTITUTE(SUBSTITUTE(TRIM(I576),"T"," "),"Z","")),
    IFERROR(
      DATE(
        RIGHT(TRIM(I576),4),
        MID(TRIM(I576),4,2),
        LEFT(TRIM(I576),2)
      ),
      DATE(
        VALUE(RIGHT(TRIM(I576),4)),
        MATCH(LEFT(TRIM(I576),FIND(" ",TRIM(I576))-1),
          {"January","February","March","April","May","June","July","August","September","October","November","December"},0),
        VALUE(MID(TRIM(I576),
          FIND(" ",TRIM(I576))+1,
          FIND(" ",TRIM(I576),FIND(" ",TRIM(I576))+1)-FIND(" ",TRIM(I576))-1))
      )
    )
  ),
"yyyy-mm-dd")</f>
        <v>2023-10-02</v>
      </c>
      <c r="K576" s="5" t="str">
        <f t="shared" si="68"/>
        <v>Oct</v>
      </c>
      <c r="L576">
        <v>1675399851</v>
      </c>
      <c r="M576" s="11">
        <f t="shared" si="69"/>
        <v>44960.201979166668</v>
      </c>
      <c r="O576" s="7">
        <f t="shared" si="70"/>
        <v>0</v>
      </c>
      <c r="P576" t="s">
        <v>52</v>
      </c>
      <c r="Q576" s="7" t="str">
        <f t="shared" si="71"/>
        <v xml:space="preserve">Prefers email </v>
      </c>
    </row>
    <row r="577" spans="1:17">
      <c r="A577">
        <v>1701</v>
      </c>
      <c r="B577" t="s">
        <v>17</v>
      </c>
      <c r="C577" s="9" t="str">
        <f t="shared" si="64"/>
        <v>John Smith</v>
      </c>
      <c r="D577" s="7" t="str">
        <f t="shared" si="65"/>
        <v>John Smith</v>
      </c>
      <c r="E577">
        <v>49</v>
      </c>
      <c r="F577" s="7">
        <f t="shared" si="66"/>
        <v>49</v>
      </c>
      <c r="G577" t="s">
        <v>18</v>
      </c>
      <c r="H577" s="7" t="str">
        <f t="shared" si="67"/>
        <v>United Kingdom</v>
      </c>
      <c r="I577" t="s">
        <v>578</v>
      </c>
      <c r="J577" s="7" t="str">
        <f>TEXT(
  IFERROR(
    DATEVALUE(SUBSTITUTE(SUBSTITUTE(TRIM(I577),"T"," "),"Z","")),
    IFERROR(
      DATE(
        RIGHT(TRIM(I577),4),
        MID(TRIM(I577),4,2),
        LEFT(TRIM(I577),2)
      ),
      DATE(
        VALUE(RIGHT(TRIM(I577),4)),
        MATCH(LEFT(TRIM(I577),FIND(" ",TRIM(I577))-1),
          {"January","February","March","April","May","June","July","August","September","October","November","December"},0),
        VALUE(MID(TRIM(I577),
          FIND(" ",TRIM(I577))+1,
          FIND(" ",TRIM(I577),FIND(" ",TRIM(I577))+1)-FIND(" ",TRIM(I577))-1))
      )
    )
  ),
"yyyy-mm-dd")</f>
        <v>2023-01-05</v>
      </c>
      <c r="K577" s="5" t="str">
        <f t="shared" si="68"/>
        <v>Jan</v>
      </c>
      <c r="L577">
        <v>1681452188</v>
      </c>
      <c r="M577" s="11">
        <f t="shared" si="69"/>
        <v>45030.252175925925</v>
      </c>
      <c r="N577">
        <v>1130.18</v>
      </c>
      <c r="O577" s="7">
        <f t="shared" si="70"/>
        <v>1130.18</v>
      </c>
      <c r="P577" t="s">
        <v>27</v>
      </c>
      <c r="Q577" s="7" t="str">
        <f t="shared" si="71"/>
        <v xml:space="preserve">Holiday signup </v>
      </c>
    </row>
    <row r="578" spans="1:17">
      <c r="A578">
        <v>1007</v>
      </c>
      <c r="B578" t="s">
        <v>210</v>
      </c>
      <c r="C578" s="9" t="str">
        <f t="shared" si="64"/>
        <v>Ethan Clark</v>
      </c>
      <c r="D578" s="7" t="str">
        <f t="shared" si="65"/>
        <v>Ethan Clark</v>
      </c>
      <c r="E578">
        <v>43</v>
      </c>
      <c r="F578" s="7">
        <f t="shared" si="66"/>
        <v>43</v>
      </c>
      <c r="G578" t="s">
        <v>29</v>
      </c>
      <c r="H578" s="7" t="str">
        <f t="shared" si="67"/>
        <v>United States</v>
      </c>
      <c r="I578" t="s">
        <v>579</v>
      </c>
      <c r="J578" s="7" t="str">
        <f>TEXT(
  IFERROR(
    DATEVALUE(SUBSTITUTE(SUBSTITUTE(TRIM(I578),"T"," "),"Z","")),
    IFERROR(
      DATE(
        RIGHT(TRIM(I578),4),
        MID(TRIM(I578),4,2),
        LEFT(TRIM(I578),2)
      ),
      DATE(
        VALUE(RIGHT(TRIM(I578),4)),
        MATCH(LEFT(TRIM(I578),FIND(" ",TRIM(I578))-1),
          {"January","February","March","April","May","June","July","August","September","October","November","December"},0),
        VALUE(MID(TRIM(I578),
          FIND(" ",TRIM(I578))+1,
          FIND(" ",TRIM(I578),FIND(" ",TRIM(I578))+1)-FIND(" ",TRIM(I578))-1))
      )
    )
  ),
"yyyy-mm-dd")</f>
        <v>2023-11-05</v>
      </c>
      <c r="K578" s="5" t="str">
        <f t="shared" si="68"/>
        <v>Nov</v>
      </c>
      <c r="L578">
        <v>1701682978</v>
      </c>
      <c r="M578" s="11">
        <f t="shared" si="69"/>
        <v>45264.404837962968</v>
      </c>
      <c r="N578">
        <v>800.64</v>
      </c>
      <c r="O578" s="7">
        <f t="shared" si="70"/>
        <v>800.64</v>
      </c>
      <c r="P578" t="s">
        <v>84</v>
      </c>
      <c r="Q578" s="7" t="str">
        <f t="shared" si="71"/>
        <v xml:space="preserve">Newsletter subscriber </v>
      </c>
    </row>
    <row r="579" spans="1:17">
      <c r="A579">
        <v>2008</v>
      </c>
      <c r="B579" t="s">
        <v>47</v>
      </c>
      <c r="C579" s="9" t="str">
        <f t="shared" ref="C579:C642" si="72">TRIM(B579)</f>
        <v>Li Wei</v>
      </c>
      <c r="D579" s="7" t="str">
        <f t="shared" ref="D579:D642" si="73">PROPER(B579)</f>
        <v>Li Wei</v>
      </c>
      <c r="E579">
        <v>32</v>
      </c>
      <c r="F579" s="7">
        <f t="shared" ref="F579:F642" si="74">IF(OR(E579="", ISBLANK(E579)), MEDIAN($E$2:$E$1501), E579)</f>
        <v>32</v>
      </c>
      <c r="G579" t="s">
        <v>29</v>
      </c>
      <c r="H579" s="7" t="str">
        <f t="shared" ref="H579:H642" si="75">TRIM(G579)</f>
        <v>United States</v>
      </c>
      <c r="I579" t="s">
        <v>580</v>
      </c>
      <c r="J579" s="7" t="str">
        <f>TEXT(
  IFERROR(
    DATEVALUE(SUBSTITUTE(SUBSTITUTE(TRIM(I579),"T"," "),"Z","")),
    IFERROR(
      DATE(
        RIGHT(TRIM(I579),4),
        MID(TRIM(I579),4,2),
        LEFT(TRIM(I579),2)
      ),
      DATE(
        VALUE(RIGHT(TRIM(I579),4)),
        MATCH(LEFT(TRIM(I579),FIND(" ",TRIM(I579))-1),
          {"January","February","March","April","May","June","July","August","September","October","November","December"},0),
        VALUE(MID(TRIM(I579),
          FIND(" ",TRIM(I579))+1,
          FIND(" ",TRIM(I579),FIND(" ",TRIM(I579))+1)-FIND(" ",TRIM(I579))-1))
      )
    )
  ),
"yyyy-mm-dd")</f>
        <v>2023-11-26</v>
      </c>
      <c r="K579" s="5" t="str">
        <f t="shared" ref="K579:K642" si="76">TEXT(J579,"mmm")</f>
        <v>Nov</v>
      </c>
      <c r="L579">
        <v>1685174367</v>
      </c>
      <c r="M579" s="11">
        <f t="shared" ref="M579:M642" si="77">((L579)/86400)+DATE(1970,1,1)</f>
        <v>45073.332951388889</v>
      </c>
      <c r="O579" s="7">
        <f t="shared" ref="O579:O642" si="78">IF(N579="", 0, N579)</f>
        <v>0</v>
      </c>
      <c r="P579" t="s">
        <v>46</v>
      </c>
      <c r="Q579" s="7" t="str">
        <f t="shared" ref="Q579:Q642" si="79">SUBSTITUTE(SUBSTITUTE(SUBSTITUTE(P579,"$",""),"%",""),"ñ","n")</f>
        <v>Corporate account</v>
      </c>
    </row>
    <row r="580" spans="1:17">
      <c r="A580">
        <v>2174</v>
      </c>
      <c r="B580" t="s">
        <v>34</v>
      </c>
      <c r="C580" s="9" t="str">
        <f t="shared" si="72"/>
        <v>Olivia Wilson</v>
      </c>
      <c r="D580" s="7" t="str">
        <f t="shared" si="73"/>
        <v xml:space="preserve"> Olivia Wilson </v>
      </c>
      <c r="E580">
        <v>42</v>
      </c>
      <c r="F580" s="7">
        <f t="shared" si="74"/>
        <v>42</v>
      </c>
      <c r="G580" t="s">
        <v>29</v>
      </c>
      <c r="H580" s="7" t="str">
        <f t="shared" si="75"/>
        <v>United States</v>
      </c>
      <c r="I580" t="s">
        <v>125</v>
      </c>
      <c r="J580" s="7" t="str">
        <f>TEXT(
  IFERROR(
    DATEVALUE(SUBSTITUTE(SUBSTITUTE(TRIM(I580),"T"," "),"Z","")),
    IFERROR(
      DATE(
        RIGHT(TRIM(I580),4),
        MID(TRIM(I580),4,2),
        LEFT(TRIM(I580),2)
      ),
      DATE(
        VALUE(RIGHT(TRIM(I580),4)),
        MATCH(LEFT(TRIM(I580),FIND(" ",TRIM(I580))-1),
          {"January","February","March","April","May","June","July","August","September","October","November","December"},0),
        VALUE(MID(TRIM(I580),
          FIND(" ",TRIM(I580))+1,
          FIND(" ",TRIM(I580),FIND(" ",TRIM(I580))+1)-FIND(" ",TRIM(I580))-1))
      )
    )
  ),
"yyyy-mm-dd")</f>
        <v>2023-06-09</v>
      </c>
      <c r="K580" s="5" t="str">
        <f t="shared" si="76"/>
        <v>Jun</v>
      </c>
      <c r="L580">
        <v>1692323120</v>
      </c>
      <c r="M580" s="11">
        <f t="shared" si="77"/>
        <v>45156.073148148149</v>
      </c>
      <c r="O580" s="7">
        <f t="shared" si="78"/>
        <v>0</v>
      </c>
      <c r="P580" t="s">
        <v>118</v>
      </c>
      <c r="Q580" s="7" t="str">
        <f t="shared" si="79"/>
        <v>High engagement</v>
      </c>
    </row>
    <row r="581" spans="1:17">
      <c r="A581">
        <v>1656</v>
      </c>
      <c r="B581" t="s">
        <v>107</v>
      </c>
      <c r="C581" s="9" t="str">
        <f t="shared" si="72"/>
        <v>Fatima Ali</v>
      </c>
      <c r="D581" s="7" t="str">
        <f t="shared" si="73"/>
        <v>Fatima Ali</v>
      </c>
      <c r="F581" s="7">
        <f t="shared" si="74"/>
        <v>43</v>
      </c>
      <c r="G581" t="s">
        <v>60</v>
      </c>
      <c r="H581" s="7" t="str">
        <f t="shared" si="75"/>
        <v>Egypt</v>
      </c>
      <c r="I581" t="s">
        <v>581</v>
      </c>
      <c r="J581" s="7" t="str">
        <f>TEXT(
  IFERROR(
    DATEVALUE(SUBSTITUTE(SUBSTITUTE(TRIM(I581),"T"," "),"Z","")),
    IFERROR(
      DATE(
        RIGHT(TRIM(I581),4),
        MID(TRIM(I581),4,2),
        LEFT(TRIM(I581),2)
      ),
      DATE(
        VALUE(RIGHT(TRIM(I581),4)),
        MATCH(LEFT(TRIM(I581),FIND(" ",TRIM(I581))-1),
          {"January","February","March","April","May","June","July","August","September","October","November","December"},0),
        VALUE(MID(TRIM(I581),
          FIND(" ",TRIM(I581))+1,
          FIND(" ",TRIM(I581),FIND(" ",TRIM(I581))+1)-FIND(" ",TRIM(I581))-1))
      )
    )
  ),
"yyyy-mm-dd")</f>
        <v>2023-11-20</v>
      </c>
      <c r="K581" s="5" t="str">
        <f t="shared" si="76"/>
        <v>Nov</v>
      </c>
      <c r="L581">
        <v>1689134300</v>
      </c>
      <c r="M581" s="11">
        <f t="shared" si="77"/>
        <v>45119.165509259255</v>
      </c>
      <c r="O581" s="7">
        <f t="shared" si="78"/>
        <v>0</v>
      </c>
      <c r="P581" t="s">
        <v>20</v>
      </c>
      <c r="Q581" s="7" t="str">
        <f t="shared" si="79"/>
        <v xml:space="preserve">Great customer </v>
      </c>
    </row>
    <row r="582" spans="1:17">
      <c r="A582">
        <v>2123</v>
      </c>
      <c r="B582" t="s">
        <v>126</v>
      </c>
      <c r="C582" s="9" t="str">
        <f t="shared" si="72"/>
        <v>Noah Martin</v>
      </c>
      <c r="D582" s="7" t="str">
        <f t="shared" si="73"/>
        <v>Noah Martin</v>
      </c>
      <c r="F582" s="7">
        <f t="shared" si="74"/>
        <v>43</v>
      </c>
      <c r="G582" t="s">
        <v>116</v>
      </c>
      <c r="H582" s="7" t="str">
        <f t="shared" si="75"/>
        <v>China</v>
      </c>
      <c r="I582" t="s">
        <v>582</v>
      </c>
      <c r="J582" s="7" t="str">
        <f>TEXT(
  IFERROR(
    DATEVALUE(SUBSTITUTE(SUBSTITUTE(TRIM(I582),"T"," "),"Z","")),
    IFERROR(
      DATE(
        RIGHT(TRIM(I582),4),
        MID(TRIM(I582),4,2),
        LEFT(TRIM(I582),2)
      ),
      DATE(
        VALUE(RIGHT(TRIM(I582),4)),
        MATCH(LEFT(TRIM(I582),FIND(" ",TRIM(I582))-1),
          {"January","February","March","April","May","June","July","August","September","October","November","December"},0),
        VALUE(MID(TRIM(I582),
          FIND(" ",TRIM(I582))+1,
          FIND(" ",TRIM(I582),FIND(" ",TRIM(I582))+1)-FIND(" ",TRIM(I582))-1))
      )
    )
  ),
"yyyy-mm-dd")</f>
        <v>2023-07-20</v>
      </c>
      <c r="K582" s="5" t="str">
        <f t="shared" si="76"/>
        <v>Jul</v>
      </c>
      <c r="L582">
        <v>1690235520</v>
      </c>
      <c r="M582" s="11">
        <f t="shared" si="77"/>
        <v>45131.911111111112</v>
      </c>
      <c r="O582" s="7">
        <f t="shared" si="78"/>
        <v>0</v>
      </c>
      <c r="P582" t="s">
        <v>40</v>
      </c>
      <c r="Q582" s="7" t="str">
        <f t="shared" si="79"/>
        <v xml:space="preserve">VIP client </v>
      </c>
    </row>
    <row r="583" spans="1:17">
      <c r="A583">
        <v>1889</v>
      </c>
      <c r="B583" t="s">
        <v>56</v>
      </c>
      <c r="C583" s="9" t="str">
        <f t="shared" si="72"/>
        <v>Carlos García</v>
      </c>
      <c r="D583" s="7" t="str">
        <f t="shared" si="73"/>
        <v>Carlos García</v>
      </c>
      <c r="E583">
        <v>43</v>
      </c>
      <c r="F583" s="7">
        <f t="shared" si="74"/>
        <v>43</v>
      </c>
      <c r="G583" t="s">
        <v>18</v>
      </c>
      <c r="H583" s="7" t="str">
        <f t="shared" si="75"/>
        <v>United Kingdom</v>
      </c>
      <c r="I583" t="s">
        <v>583</v>
      </c>
      <c r="J583" s="7" t="str">
        <f>TEXT(
  IFERROR(
    DATEVALUE(SUBSTITUTE(SUBSTITUTE(TRIM(I583),"T"," "),"Z","")),
    IFERROR(
      DATE(
        RIGHT(TRIM(I583),4),
        MID(TRIM(I583),4,2),
        LEFT(TRIM(I583),2)
      ),
      DATE(
        VALUE(RIGHT(TRIM(I583),4)),
        MATCH(LEFT(TRIM(I583),FIND(" ",TRIM(I583))-1),
          {"January","February","March","April","May","June","July","August","September","October","November","December"},0),
        VALUE(MID(TRIM(I583),
          FIND(" ",TRIM(I583))+1,
          FIND(" ",TRIM(I583),FIND(" ",TRIM(I583))+1)-FIND(" ",TRIM(I583))-1))
      )
    )
  ),
"yyyy-mm-dd")</f>
        <v>2023-05-04</v>
      </c>
      <c r="K583" s="5" t="str">
        <f t="shared" si="76"/>
        <v>May</v>
      </c>
      <c r="L583">
        <v>1688919564</v>
      </c>
      <c r="M583" s="11">
        <f t="shared" si="77"/>
        <v>45116.680138888885</v>
      </c>
      <c r="N583">
        <v>461.01</v>
      </c>
      <c r="O583" s="7">
        <f t="shared" si="78"/>
        <v>461.01</v>
      </c>
      <c r="P583" t="s">
        <v>118</v>
      </c>
      <c r="Q583" s="7" t="str">
        <f t="shared" si="79"/>
        <v>High engagement</v>
      </c>
    </row>
    <row r="584" spans="1:17">
      <c r="A584">
        <v>2137</v>
      </c>
      <c r="B584" t="s">
        <v>210</v>
      </c>
      <c r="C584" s="9" t="str">
        <f t="shared" si="72"/>
        <v>Ethan Clark</v>
      </c>
      <c r="D584" s="7" t="str">
        <f t="shared" si="73"/>
        <v>Ethan Clark</v>
      </c>
      <c r="E584">
        <v>25</v>
      </c>
      <c r="F584" s="7">
        <f t="shared" si="74"/>
        <v>25</v>
      </c>
      <c r="G584" t="s">
        <v>22</v>
      </c>
      <c r="H584" s="7" t="str">
        <f t="shared" si="75"/>
        <v>Germany</v>
      </c>
      <c r="I584" t="s">
        <v>295</v>
      </c>
      <c r="J584" s="7" t="str">
        <f>TEXT(
  IFERROR(
    DATEVALUE(SUBSTITUTE(SUBSTITUTE(TRIM(I584),"T"," "),"Z","")),
    IFERROR(
      DATE(
        RIGHT(TRIM(I584),4),
        MID(TRIM(I584),4,2),
        LEFT(TRIM(I584),2)
      ),
      DATE(
        VALUE(RIGHT(TRIM(I584),4)),
        MATCH(LEFT(TRIM(I584),FIND(" ",TRIM(I584))-1),
          {"January","February","March","April","May","June","July","August","September","October","November","December"},0),
        VALUE(MID(TRIM(I584),
          FIND(" ",TRIM(I584))+1,
          FIND(" ",TRIM(I584),FIND(" ",TRIM(I584))+1)-FIND(" ",TRIM(I584))-1))
      )
    )
  ),
"yyyy-mm-dd")</f>
        <v>2023-12-01</v>
      </c>
      <c r="K584" s="5" t="str">
        <f t="shared" si="76"/>
        <v>Dec</v>
      </c>
      <c r="L584">
        <v>1675470781</v>
      </c>
      <c r="M584" s="11">
        <f t="shared" si="77"/>
        <v>44961.022928240738</v>
      </c>
      <c r="N584">
        <v>848.12</v>
      </c>
      <c r="O584" s="7">
        <f t="shared" si="78"/>
        <v>848.12</v>
      </c>
      <c r="P584" t="s">
        <v>52</v>
      </c>
      <c r="Q584" s="7" t="str">
        <f t="shared" si="79"/>
        <v xml:space="preserve">Prefers email </v>
      </c>
    </row>
    <row r="585" spans="1:17">
      <c r="A585">
        <v>1912</v>
      </c>
      <c r="B585" t="s">
        <v>56</v>
      </c>
      <c r="C585" s="9" t="str">
        <f t="shared" si="72"/>
        <v>Carlos García</v>
      </c>
      <c r="D585" s="7" t="str">
        <f t="shared" si="73"/>
        <v>Carlos García</v>
      </c>
      <c r="E585">
        <v>38</v>
      </c>
      <c r="F585" s="7">
        <f t="shared" si="74"/>
        <v>38</v>
      </c>
      <c r="G585" t="s">
        <v>122</v>
      </c>
      <c r="H585" s="7" t="str">
        <f t="shared" si="75"/>
        <v>Italy</v>
      </c>
      <c r="I585" t="s">
        <v>445</v>
      </c>
      <c r="J585" s="7" t="str">
        <f>TEXT(
  IFERROR(
    DATEVALUE(SUBSTITUTE(SUBSTITUTE(TRIM(I585),"T"," "),"Z","")),
    IFERROR(
      DATE(
        RIGHT(TRIM(I585),4),
        MID(TRIM(I585),4,2),
        LEFT(TRIM(I585),2)
      ),
      DATE(
        VALUE(RIGHT(TRIM(I585),4)),
        MATCH(LEFT(TRIM(I585),FIND(" ",TRIM(I585))-1),
          {"January","February","March","April","May","June","July","August","September","October","November","December"},0),
        VALUE(MID(TRIM(I585),
          FIND(" ",TRIM(I585))+1,
          FIND(" ",TRIM(I585),FIND(" ",TRIM(I585))+1)-FIND(" ",TRIM(I585))-1))
      )
    )
  ),
"yyyy-mm-dd")</f>
        <v>2023-11-07</v>
      </c>
      <c r="K585" s="5" t="str">
        <f t="shared" si="76"/>
        <v>Nov</v>
      </c>
      <c r="L585">
        <v>1689656569</v>
      </c>
      <c r="M585" s="11">
        <f t="shared" si="77"/>
        <v>45125.210289351853</v>
      </c>
      <c r="N585">
        <v>322.66000000000003</v>
      </c>
      <c r="O585" s="7">
        <f t="shared" si="78"/>
        <v>322.66000000000003</v>
      </c>
      <c r="P585" t="s">
        <v>20</v>
      </c>
      <c r="Q585" s="7" t="str">
        <f t="shared" si="79"/>
        <v xml:space="preserve">Great customer </v>
      </c>
    </row>
    <row r="586" spans="1:17">
      <c r="A586">
        <v>1486</v>
      </c>
      <c r="B586" t="s">
        <v>59</v>
      </c>
      <c r="C586" s="9" t="str">
        <f t="shared" si="72"/>
        <v>Maria Lopez</v>
      </c>
      <c r="D586" s="7" t="str">
        <f t="shared" si="73"/>
        <v xml:space="preserve"> Maria Lopez </v>
      </c>
      <c r="E586">
        <v>37</v>
      </c>
      <c r="F586" s="7">
        <f t="shared" si="74"/>
        <v>37</v>
      </c>
      <c r="G586" t="s">
        <v>62</v>
      </c>
      <c r="H586" s="7" t="str">
        <f t="shared" si="75"/>
        <v>Ireland</v>
      </c>
      <c r="I586" t="s">
        <v>194</v>
      </c>
      <c r="J586" s="7" t="str">
        <f>TEXT(
  IFERROR(
    DATEVALUE(SUBSTITUTE(SUBSTITUTE(TRIM(I586),"T"," "),"Z","")),
    IFERROR(
      DATE(
        RIGHT(TRIM(I586),4),
        MID(TRIM(I586),4,2),
        LEFT(TRIM(I586),2)
      ),
      DATE(
        VALUE(RIGHT(TRIM(I586),4)),
        MATCH(LEFT(TRIM(I586),FIND(" ",TRIM(I586))-1),
          {"January","February","March","April","May","June","July","August","September","October","November","December"},0),
        VALUE(MID(TRIM(I586),
          FIND(" ",TRIM(I586))+1,
          FIND(" ",TRIM(I586),FIND(" ",TRIM(I586))+1)-FIND(" ",TRIM(I586))-1))
      )
    )
  ),
"yyyy-mm-dd")</f>
        <v>2023-04-21</v>
      </c>
      <c r="K586" s="5" t="str">
        <f t="shared" si="76"/>
        <v>Apr</v>
      </c>
      <c r="L586">
        <v>1684572227</v>
      </c>
      <c r="M586" s="11">
        <f t="shared" si="77"/>
        <v>45066.363738425927</v>
      </c>
      <c r="O586" s="7">
        <f t="shared" si="78"/>
        <v>0</v>
      </c>
      <c r="P586" t="s">
        <v>52</v>
      </c>
      <c r="Q586" s="7" t="str">
        <f t="shared" si="79"/>
        <v xml:space="preserve">Prefers email </v>
      </c>
    </row>
    <row r="587" spans="1:17">
      <c r="A587">
        <v>1418</v>
      </c>
      <c r="B587" t="s">
        <v>47</v>
      </c>
      <c r="C587" s="9" t="str">
        <f t="shared" si="72"/>
        <v>Li Wei</v>
      </c>
      <c r="D587" s="7" t="str">
        <f t="shared" si="73"/>
        <v>Li Wei</v>
      </c>
      <c r="E587">
        <v>58</v>
      </c>
      <c r="F587" s="7">
        <f t="shared" si="74"/>
        <v>58</v>
      </c>
      <c r="G587" t="s">
        <v>22</v>
      </c>
      <c r="H587" s="7" t="str">
        <f t="shared" si="75"/>
        <v>Germany</v>
      </c>
      <c r="I587" t="s">
        <v>584</v>
      </c>
      <c r="J587" s="7" t="str">
        <f>TEXT(
  IFERROR(
    DATEVALUE(SUBSTITUTE(SUBSTITUTE(TRIM(I587),"T"," "),"Z","")),
    IFERROR(
      DATE(
        RIGHT(TRIM(I587),4),
        MID(TRIM(I587),4,2),
        LEFT(TRIM(I587),2)
      ),
      DATE(
        VALUE(RIGHT(TRIM(I587),4)),
        MATCH(LEFT(TRIM(I587),FIND(" ",TRIM(I587))-1),
          {"January","February","March","April","May","June","July","August","September","October","November","December"},0),
        VALUE(MID(TRIM(I587),
          FIND(" ",TRIM(I587))+1,
          FIND(" ",TRIM(I587),FIND(" ",TRIM(I587))+1)-FIND(" ",TRIM(I587))-1))
      )
    )
  ),
"yyyy-mm-dd")</f>
        <v>2024-01-01</v>
      </c>
      <c r="K587" s="5" t="str">
        <f t="shared" si="76"/>
        <v>Jan</v>
      </c>
      <c r="L587">
        <v>1691436692</v>
      </c>
      <c r="M587" s="11">
        <f t="shared" si="77"/>
        <v>45145.813564814816</v>
      </c>
      <c r="N587">
        <v>989.4</v>
      </c>
      <c r="O587" s="7">
        <f t="shared" si="78"/>
        <v>989.4</v>
      </c>
      <c r="P587" t="s">
        <v>118</v>
      </c>
      <c r="Q587" s="7" t="str">
        <f t="shared" si="79"/>
        <v>High engagement</v>
      </c>
    </row>
    <row r="588" spans="1:17">
      <c r="A588">
        <v>1675</v>
      </c>
      <c r="B588" t="s">
        <v>114</v>
      </c>
      <c r="C588" s="9" t="str">
        <f t="shared" si="72"/>
        <v>Liam O’Connor</v>
      </c>
      <c r="D588" s="7" t="str">
        <f t="shared" si="73"/>
        <v xml:space="preserve"> Liam O’Connor </v>
      </c>
      <c r="E588">
        <v>39</v>
      </c>
      <c r="F588" s="7">
        <f t="shared" si="74"/>
        <v>39</v>
      </c>
      <c r="G588" t="s">
        <v>38</v>
      </c>
      <c r="H588" s="7" t="str">
        <f t="shared" si="75"/>
        <v>Spain</v>
      </c>
      <c r="I588" t="s">
        <v>265</v>
      </c>
      <c r="J588" s="7" t="str">
        <f>TEXT(
  IFERROR(
    DATEVALUE(SUBSTITUTE(SUBSTITUTE(TRIM(I588),"T"," "),"Z","")),
    IFERROR(
      DATE(
        RIGHT(TRIM(I588),4),
        MID(TRIM(I588),4,2),
        LEFT(TRIM(I588),2)
      ),
      DATE(
        VALUE(RIGHT(TRIM(I588),4)),
        MATCH(LEFT(TRIM(I588),FIND(" ",TRIM(I588))-1),
          {"January","February","March","April","May","June","July","August","September","October","November","December"},0),
        VALUE(MID(TRIM(I588),
          FIND(" ",TRIM(I588))+1,
          FIND(" ",TRIM(I588),FIND(" ",TRIM(I588))+1)-FIND(" ",TRIM(I588))-1))
      )
    )
  ),
"yyyy-mm-dd")</f>
        <v>2023-05-21</v>
      </c>
      <c r="K588" s="5" t="str">
        <f t="shared" si="76"/>
        <v>May</v>
      </c>
      <c r="L588">
        <v>1675810551</v>
      </c>
      <c r="M588" s="11">
        <f t="shared" si="77"/>
        <v>44964.955451388887</v>
      </c>
      <c r="N588">
        <v>571.96</v>
      </c>
      <c r="O588" s="7">
        <f t="shared" si="78"/>
        <v>571.96</v>
      </c>
      <c r="P588" t="s">
        <v>118</v>
      </c>
      <c r="Q588" s="7" t="str">
        <f t="shared" si="79"/>
        <v>High engagement</v>
      </c>
    </row>
    <row r="589" spans="1:17">
      <c r="A589">
        <v>1216</v>
      </c>
      <c r="B589" t="s">
        <v>224</v>
      </c>
      <c r="C589" s="9" t="str">
        <f t="shared" si="72"/>
        <v>Anne Müller</v>
      </c>
      <c r="D589" s="7" t="str">
        <f t="shared" si="73"/>
        <v xml:space="preserve"> Anne Müller </v>
      </c>
      <c r="E589">
        <v>37</v>
      </c>
      <c r="F589" s="7">
        <f t="shared" si="74"/>
        <v>37</v>
      </c>
      <c r="G589" t="s">
        <v>60</v>
      </c>
      <c r="H589" s="7" t="str">
        <f t="shared" si="75"/>
        <v>Egypt</v>
      </c>
      <c r="I589" t="s">
        <v>490</v>
      </c>
      <c r="J589" s="7" t="str">
        <f>TEXT(
  IFERROR(
    DATEVALUE(SUBSTITUTE(SUBSTITUTE(TRIM(I589),"T"," "),"Z","")),
    IFERROR(
      DATE(
        RIGHT(TRIM(I589),4),
        MID(TRIM(I589),4,2),
        LEFT(TRIM(I589),2)
      ),
      DATE(
        VALUE(RIGHT(TRIM(I589),4)),
        MATCH(LEFT(TRIM(I589),FIND(" ",TRIM(I589))-1),
          {"January","February","March","April","May","June","July","August","September","October","November","December"},0),
        VALUE(MID(TRIM(I589),
          FIND(" ",TRIM(I589))+1,
          FIND(" ",TRIM(I589),FIND(" ",TRIM(I589))+1)-FIND(" ",TRIM(I589))-1))
      )
    )
  ),
"yyyy-mm-dd")</f>
        <v>2023-02-18</v>
      </c>
      <c r="K589" s="5" t="str">
        <f t="shared" si="76"/>
        <v>Feb</v>
      </c>
      <c r="L589">
        <v>1684231148</v>
      </c>
      <c r="M589" s="11">
        <f t="shared" si="77"/>
        <v>45062.41606481481</v>
      </c>
      <c r="O589" s="7">
        <f t="shared" si="78"/>
        <v>0</v>
      </c>
      <c r="P589" t="s">
        <v>46</v>
      </c>
      <c r="Q589" s="7" t="str">
        <f t="shared" si="79"/>
        <v>Corporate account</v>
      </c>
    </row>
    <row r="590" spans="1:17">
      <c r="A590">
        <v>1556</v>
      </c>
      <c r="B590" t="s">
        <v>78</v>
      </c>
      <c r="C590" s="9" t="str">
        <f t="shared" si="72"/>
        <v>Mia Thompson</v>
      </c>
      <c r="D590" s="7" t="str">
        <f t="shared" si="73"/>
        <v xml:space="preserve"> Mia Thompson </v>
      </c>
      <c r="F590" s="7">
        <f t="shared" si="74"/>
        <v>43</v>
      </c>
      <c r="G590" t="s">
        <v>116</v>
      </c>
      <c r="H590" s="7" t="str">
        <f t="shared" si="75"/>
        <v>China</v>
      </c>
      <c r="I590" t="s">
        <v>585</v>
      </c>
      <c r="J590" s="7" t="str">
        <f>TEXT(
  IFERROR(
    DATEVALUE(SUBSTITUTE(SUBSTITUTE(TRIM(I590),"T"," "),"Z","")),
    IFERROR(
      DATE(
        RIGHT(TRIM(I590),4),
        MID(TRIM(I590),4,2),
        LEFT(TRIM(I590),2)
      ),
      DATE(
        VALUE(RIGHT(TRIM(I590),4)),
        MATCH(LEFT(TRIM(I590),FIND(" ",TRIM(I590))-1),
          {"January","February","March","April","May","June","July","August","September","October","November","December"},0),
        VALUE(MID(TRIM(I590),
          FIND(" ",TRIM(I590))+1,
          FIND(" ",TRIM(I590),FIND(" ",TRIM(I590))+1)-FIND(" ",TRIM(I590))-1))
      )
    )
  ),
"yyyy-mm-dd")</f>
        <v>2023-03-04</v>
      </c>
      <c r="K590" s="5" t="str">
        <f t="shared" si="76"/>
        <v>Mar</v>
      </c>
      <c r="L590">
        <v>1699571724</v>
      </c>
      <c r="M590" s="11">
        <f t="shared" si="77"/>
        <v>45239.969027777777</v>
      </c>
      <c r="O590" s="7">
        <f t="shared" si="78"/>
        <v>0</v>
      </c>
      <c r="P590" t="s">
        <v>36</v>
      </c>
      <c r="Q590" s="7" t="str">
        <f t="shared" si="79"/>
        <v>Regular shopper</v>
      </c>
    </row>
    <row r="591" spans="1:17">
      <c r="A591">
        <v>2179</v>
      </c>
      <c r="B591" t="s">
        <v>59</v>
      </c>
      <c r="C591" s="9" t="str">
        <f t="shared" si="72"/>
        <v>Maria Lopez</v>
      </c>
      <c r="D591" s="7" t="str">
        <f t="shared" si="73"/>
        <v xml:space="preserve"> Maria Lopez </v>
      </c>
      <c r="F591" s="7">
        <f t="shared" si="74"/>
        <v>43</v>
      </c>
      <c r="G591" t="s">
        <v>29</v>
      </c>
      <c r="H591" s="7" t="str">
        <f t="shared" si="75"/>
        <v>United States</v>
      </c>
      <c r="I591" t="s">
        <v>586</v>
      </c>
      <c r="J591" s="7" t="str">
        <f>TEXT(
  IFERROR(
    DATEVALUE(SUBSTITUTE(SUBSTITUTE(TRIM(I591),"T"," "),"Z","")),
    IFERROR(
      DATE(
        RIGHT(TRIM(I591),4),
        MID(TRIM(I591),4,2),
        LEFT(TRIM(I591),2)
      ),
      DATE(
        VALUE(RIGHT(TRIM(I591),4)),
        MATCH(LEFT(TRIM(I591),FIND(" ",TRIM(I591))-1),
          {"January","February","March","April","May","June","July","August","September","October","November","December"},0),
        VALUE(MID(TRIM(I591),
          FIND(" ",TRIM(I591))+1,
          FIND(" ",TRIM(I591),FIND(" ",TRIM(I591))+1)-FIND(" ",TRIM(I591))-1))
      )
    )
  ),
"yyyy-mm-dd")</f>
        <v>2023-08-06</v>
      </c>
      <c r="K591" s="5" t="str">
        <f t="shared" si="76"/>
        <v>Aug</v>
      </c>
      <c r="L591">
        <v>1703811542</v>
      </c>
      <c r="M591" s="11">
        <f t="shared" si="77"/>
        <v>45289.040995370371</v>
      </c>
      <c r="O591" s="7">
        <f t="shared" si="78"/>
        <v>0</v>
      </c>
      <c r="P591" t="s">
        <v>36</v>
      </c>
      <c r="Q591" s="7" t="str">
        <f t="shared" si="79"/>
        <v>Regular shopper</v>
      </c>
    </row>
    <row r="592" spans="1:17">
      <c r="A592">
        <v>2055</v>
      </c>
      <c r="B592" t="s">
        <v>101</v>
      </c>
      <c r="C592" s="9" t="str">
        <f t="shared" si="72"/>
        <v>Zoë Kravitz</v>
      </c>
      <c r="D592" s="7" t="str">
        <f t="shared" si="73"/>
        <v>Zoë Kravitz</v>
      </c>
      <c r="E592">
        <v>52</v>
      </c>
      <c r="F592" s="7">
        <f t="shared" si="74"/>
        <v>52</v>
      </c>
      <c r="G592" t="s">
        <v>116</v>
      </c>
      <c r="H592" s="7" t="str">
        <f t="shared" si="75"/>
        <v>China</v>
      </c>
      <c r="I592" t="s">
        <v>587</v>
      </c>
      <c r="J592" s="7" t="str">
        <f>TEXT(
  IFERROR(
    DATEVALUE(SUBSTITUTE(SUBSTITUTE(TRIM(I592),"T"," "),"Z","")),
    IFERROR(
      DATE(
        RIGHT(TRIM(I592),4),
        MID(TRIM(I592),4,2),
        LEFT(TRIM(I592),2)
      ),
      DATE(
        VALUE(RIGHT(TRIM(I592),4)),
        MATCH(LEFT(TRIM(I592),FIND(" ",TRIM(I592))-1),
          {"January","February","March","April","May","June","July","August","September","October","November","December"},0),
        VALUE(MID(TRIM(I592),
          FIND(" ",TRIM(I592))+1,
          FIND(" ",TRIM(I592),FIND(" ",TRIM(I592))+1)-FIND(" ",TRIM(I592))-1))
      )
    )
  ),
"yyyy-mm-dd")</f>
        <v>2023-01-08</v>
      </c>
      <c r="K592" s="5" t="str">
        <f t="shared" si="76"/>
        <v>Jan</v>
      </c>
      <c r="L592">
        <v>1678905516</v>
      </c>
      <c r="M592" s="11">
        <f t="shared" si="77"/>
        <v>45000.776805555557</v>
      </c>
      <c r="N592">
        <v>1367.22</v>
      </c>
      <c r="O592" s="7">
        <f t="shared" si="78"/>
        <v>1367.22</v>
      </c>
      <c r="P592" t="s">
        <v>118</v>
      </c>
      <c r="Q592" s="7" t="str">
        <f t="shared" si="79"/>
        <v>High engagement</v>
      </c>
    </row>
    <row r="593" spans="1:17">
      <c r="A593">
        <v>2095</v>
      </c>
      <c r="B593" t="s">
        <v>88</v>
      </c>
      <c r="C593" s="9" t="str">
        <f t="shared" si="72"/>
        <v>André Santos</v>
      </c>
      <c r="D593" s="7" t="str">
        <f t="shared" si="73"/>
        <v>André Santos</v>
      </c>
      <c r="E593">
        <v>60</v>
      </c>
      <c r="F593" s="7">
        <f t="shared" si="74"/>
        <v>60</v>
      </c>
      <c r="G593" t="s">
        <v>29</v>
      </c>
      <c r="H593" s="7" t="str">
        <f t="shared" si="75"/>
        <v>United States</v>
      </c>
      <c r="I593" t="s">
        <v>588</v>
      </c>
      <c r="J593" s="7" t="str">
        <f>TEXT(
  IFERROR(
    DATEVALUE(SUBSTITUTE(SUBSTITUTE(TRIM(I593),"T"," "),"Z","")),
    IFERROR(
      DATE(
        RIGHT(TRIM(I593),4),
        MID(TRIM(I593),4,2),
        LEFT(TRIM(I593),2)
      ),
      DATE(
        VALUE(RIGHT(TRIM(I593),4)),
        MATCH(LEFT(TRIM(I593),FIND(" ",TRIM(I593))-1),
          {"January","February","March","April","May","June","July","August","September","October","November","December"},0),
        VALUE(MID(TRIM(I593),
          FIND(" ",TRIM(I593))+1,
          FIND(" ",TRIM(I593),FIND(" ",TRIM(I593))+1)-FIND(" ",TRIM(I593))-1))
      )
    )
  ),
"yyyy-mm-dd")</f>
        <v>2023-11-07</v>
      </c>
      <c r="K593" s="5" t="str">
        <f t="shared" si="76"/>
        <v>Nov</v>
      </c>
      <c r="L593">
        <v>1678179006</v>
      </c>
      <c r="M593" s="11">
        <f t="shared" si="77"/>
        <v>44992.368125000001</v>
      </c>
      <c r="N593">
        <v>1015.04</v>
      </c>
      <c r="O593" s="7">
        <f t="shared" si="78"/>
        <v>1015.04</v>
      </c>
      <c r="P593" t="s">
        <v>33</v>
      </c>
      <c r="Q593" s="7" t="str">
        <f t="shared" si="79"/>
        <v>Frequent buyer n</v>
      </c>
    </row>
    <row r="594" spans="1:17">
      <c r="A594">
        <v>1154</v>
      </c>
      <c r="B594" t="s">
        <v>90</v>
      </c>
      <c r="C594" s="9" t="str">
        <f t="shared" si="72"/>
        <v>Olivia Wilson</v>
      </c>
      <c r="D594" s="7" t="str">
        <f t="shared" si="73"/>
        <v>Olivia Wilson</v>
      </c>
      <c r="E594">
        <v>50</v>
      </c>
      <c r="F594" s="7">
        <f t="shared" si="74"/>
        <v>50</v>
      </c>
      <c r="G594" t="s">
        <v>44</v>
      </c>
      <c r="H594" s="7" t="str">
        <f t="shared" si="75"/>
        <v>UAE</v>
      </c>
      <c r="I594" t="s">
        <v>589</v>
      </c>
      <c r="J594" s="7" t="str">
        <f>TEXT(
  IFERROR(
    DATEVALUE(SUBSTITUTE(SUBSTITUTE(TRIM(I594),"T"," "),"Z","")),
    IFERROR(
      DATE(
        RIGHT(TRIM(I594),4),
        MID(TRIM(I594),4,2),
        LEFT(TRIM(I594),2)
      ),
      DATE(
        VALUE(RIGHT(TRIM(I594),4)),
        MATCH(LEFT(TRIM(I594),FIND(" ",TRIM(I594))-1),
          {"January","February","March","April","May","June","July","August","September","October","November","December"},0),
        VALUE(MID(TRIM(I594),
          FIND(" ",TRIM(I594))+1,
          FIND(" ",TRIM(I594),FIND(" ",TRIM(I594))+1)-FIND(" ",TRIM(I594))-1))
      )
    )
  ),
"yyyy-mm-dd")</f>
        <v>2023-09-11</v>
      </c>
      <c r="K594" s="5" t="str">
        <f t="shared" si="76"/>
        <v>Sep</v>
      </c>
      <c r="L594">
        <v>1678244492</v>
      </c>
      <c r="M594" s="11">
        <f t="shared" si="77"/>
        <v>44993.126064814816</v>
      </c>
      <c r="N594">
        <v>566.19000000000005</v>
      </c>
      <c r="O594" s="7">
        <f t="shared" si="78"/>
        <v>566.19000000000005</v>
      </c>
      <c r="P594" t="s">
        <v>84</v>
      </c>
      <c r="Q594" s="7" t="str">
        <f t="shared" si="79"/>
        <v xml:space="preserve">Newsletter subscriber </v>
      </c>
    </row>
    <row r="595" spans="1:17">
      <c r="A595">
        <v>1625</v>
      </c>
      <c r="B595" t="s">
        <v>185</v>
      </c>
      <c r="C595" s="9" t="str">
        <f t="shared" si="72"/>
        <v>Liam O’Connor</v>
      </c>
      <c r="D595" s="7" t="str">
        <f t="shared" si="73"/>
        <v>Liam O’Connor</v>
      </c>
      <c r="E595">
        <v>47</v>
      </c>
      <c r="F595" s="7">
        <f t="shared" si="74"/>
        <v>47</v>
      </c>
      <c r="G595" t="s">
        <v>60</v>
      </c>
      <c r="H595" s="7" t="str">
        <f t="shared" si="75"/>
        <v>Egypt</v>
      </c>
      <c r="I595" t="s">
        <v>590</v>
      </c>
      <c r="J595" s="7" t="str">
        <f>TEXT(
  IFERROR(
    DATEVALUE(SUBSTITUTE(SUBSTITUTE(TRIM(I595),"T"," "),"Z","")),
    IFERROR(
      DATE(
        RIGHT(TRIM(I595),4),
        MID(TRIM(I595),4,2),
        LEFT(TRIM(I595),2)
      ),
      DATE(
        VALUE(RIGHT(TRIM(I595),4)),
        MATCH(LEFT(TRIM(I595),FIND(" ",TRIM(I595))-1),
          {"January","February","March","April","May","June","July","August","September","October","November","December"},0),
        VALUE(MID(TRIM(I595),
          FIND(" ",TRIM(I595))+1,
          FIND(" ",TRIM(I595),FIND(" ",TRIM(I595))+1)-FIND(" ",TRIM(I595))-1))
      )
    )
  ),
"yyyy-mm-dd")</f>
        <v>2023-01-30</v>
      </c>
      <c r="K595" s="5" t="str">
        <f t="shared" si="76"/>
        <v>Jan</v>
      </c>
      <c r="L595">
        <v>1672721672</v>
      </c>
      <c r="M595" s="11">
        <f t="shared" si="77"/>
        <v>44929.204537037032</v>
      </c>
      <c r="O595" s="7">
        <f t="shared" si="78"/>
        <v>0</v>
      </c>
      <c r="P595" t="s">
        <v>58</v>
      </c>
      <c r="Q595" s="7" t="str">
        <f t="shared" si="79"/>
        <v>Student account</v>
      </c>
    </row>
    <row r="596" spans="1:17">
      <c r="A596">
        <v>1725</v>
      </c>
      <c r="B596" t="s">
        <v>224</v>
      </c>
      <c r="C596" s="9" t="str">
        <f t="shared" si="72"/>
        <v>Anne Müller</v>
      </c>
      <c r="D596" s="7" t="str">
        <f t="shared" si="73"/>
        <v xml:space="preserve"> Anne Müller </v>
      </c>
      <c r="F596" s="7">
        <f t="shared" si="74"/>
        <v>43</v>
      </c>
      <c r="G596" t="s">
        <v>122</v>
      </c>
      <c r="H596" s="7" t="str">
        <f t="shared" si="75"/>
        <v>Italy</v>
      </c>
      <c r="I596" t="s">
        <v>578</v>
      </c>
      <c r="J596" s="7" t="str">
        <f>TEXT(
  IFERROR(
    DATEVALUE(SUBSTITUTE(SUBSTITUTE(TRIM(I596),"T"," "),"Z","")),
    IFERROR(
      DATE(
        RIGHT(TRIM(I596),4),
        MID(TRIM(I596),4,2),
        LEFT(TRIM(I596),2)
      ),
      DATE(
        VALUE(RIGHT(TRIM(I596),4)),
        MATCH(LEFT(TRIM(I596),FIND(" ",TRIM(I596))-1),
          {"January","February","March","April","May","June","July","August","September","October","November","December"},0),
        VALUE(MID(TRIM(I596),
          FIND(" ",TRIM(I596))+1,
          FIND(" ",TRIM(I596),FIND(" ",TRIM(I596))+1)-FIND(" ",TRIM(I596))-1))
      )
    )
  ),
"yyyy-mm-dd")</f>
        <v>2023-01-05</v>
      </c>
      <c r="K596" s="5" t="str">
        <f t="shared" si="76"/>
        <v>Jan</v>
      </c>
      <c r="L596">
        <v>1686979377</v>
      </c>
      <c r="M596" s="11">
        <f t="shared" si="77"/>
        <v>45094.224270833336</v>
      </c>
      <c r="N596">
        <v>743.15</v>
      </c>
      <c r="O596" s="7">
        <f t="shared" si="78"/>
        <v>743.15</v>
      </c>
      <c r="P596" t="s">
        <v>46</v>
      </c>
      <c r="Q596" s="7" t="str">
        <f t="shared" si="79"/>
        <v>Corporate account</v>
      </c>
    </row>
    <row r="597" spans="1:17">
      <c r="A597">
        <v>1374</v>
      </c>
      <c r="B597" t="s">
        <v>148</v>
      </c>
      <c r="C597" s="9" t="str">
        <f t="shared" si="72"/>
        <v>Chloe Dubois</v>
      </c>
      <c r="D597" s="7" t="str">
        <f t="shared" si="73"/>
        <v>Chloe Dubois</v>
      </c>
      <c r="E597">
        <v>46</v>
      </c>
      <c r="F597" s="7">
        <f t="shared" si="74"/>
        <v>46</v>
      </c>
      <c r="G597" t="s">
        <v>111</v>
      </c>
      <c r="H597" s="7" t="str">
        <f t="shared" si="75"/>
        <v>South Korea</v>
      </c>
      <c r="I597" t="s">
        <v>591</v>
      </c>
      <c r="J597" s="7" t="str">
        <f>TEXT(
  IFERROR(
    DATEVALUE(SUBSTITUTE(SUBSTITUTE(TRIM(I597),"T"," "),"Z","")),
    IFERROR(
      DATE(
        RIGHT(TRIM(I597),4),
        MID(TRIM(I597),4,2),
        LEFT(TRIM(I597),2)
      ),
      DATE(
        VALUE(RIGHT(TRIM(I597),4)),
        MATCH(LEFT(TRIM(I597),FIND(" ",TRIM(I597))-1),
          {"January","February","March","April","May","June","July","August","September","October","November","December"},0),
        VALUE(MID(TRIM(I597),
          FIND(" ",TRIM(I597))+1,
          FIND(" ",TRIM(I597),FIND(" ",TRIM(I597))+1)-FIND(" ",TRIM(I597))-1))
      )
    )
  ),
"yyyy-mm-dd")</f>
        <v>2023-03-24</v>
      </c>
      <c r="K597" s="5" t="str">
        <f t="shared" si="76"/>
        <v>Mar</v>
      </c>
      <c r="L597">
        <v>1684393470</v>
      </c>
      <c r="M597" s="11">
        <f t="shared" si="77"/>
        <v>45064.294791666667</v>
      </c>
      <c r="N597">
        <v>1123.17</v>
      </c>
      <c r="O597" s="7">
        <f t="shared" si="78"/>
        <v>1123.17</v>
      </c>
      <c r="P597" t="s">
        <v>84</v>
      </c>
      <c r="Q597" s="7" t="str">
        <f t="shared" si="79"/>
        <v xml:space="preserve">Newsletter subscriber </v>
      </c>
    </row>
    <row r="598" spans="1:17">
      <c r="A598">
        <v>1225</v>
      </c>
      <c r="B598" t="s">
        <v>140</v>
      </c>
      <c r="C598" s="9" t="str">
        <f t="shared" si="72"/>
        <v>Anne Müller</v>
      </c>
      <c r="D598" s="7" t="str">
        <f t="shared" si="73"/>
        <v>Anne Müller</v>
      </c>
      <c r="F598" s="7">
        <f t="shared" si="74"/>
        <v>43</v>
      </c>
      <c r="G598" t="s">
        <v>67</v>
      </c>
      <c r="H598" s="7" t="str">
        <f t="shared" si="75"/>
        <v>Sweden</v>
      </c>
      <c r="I598" t="s">
        <v>592</v>
      </c>
      <c r="J598" s="7" t="str">
        <f>TEXT(
  IFERROR(
    DATEVALUE(SUBSTITUTE(SUBSTITUTE(TRIM(I598),"T"," "),"Z","")),
    IFERROR(
      DATE(
        RIGHT(TRIM(I598),4),
        MID(TRIM(I598),4,2),
        LEFT(TRIM(I598),2)
      ),
      DATE(
        VALUE(RIGHT(TRIM(I598),4)),
        MATCH(LEFT(TRIM(I598),FIND(" ",TRIM(I598))-1),
          {"January","February","March","April","May","June","July","August","September","October","November","December"},0),
        VALUE(MID(TRIM(I598),
          FIND(" ",TRIM(I598))+1,
          FIND(" ",TRIM(I598),FIND(" ",TRIM(I598))+1)-FIND(" ",TRIM(I598))-1))
      )
    )
  ),
"yyyy-mm-dd")</f>
        <v>2023-01-07</v>
      </c>
      <c r="K598" s="5" t="str">
        <f t="shared" si="76"/>
        <v>Jan</v>
      </c>
      <c r="L598">
        <v>1674270167</v>
      </c>
      <c r="M598" s="11">
        <f t="shared" si="77"/>
        <v>44947.126932870371</v>
      </c>
      <c r="O598" s="7">
        <f t="shared" si="78"/>
        <v>0</v>
      </c>
      <c r="P598" t="s">
        <v>118</v>
      </c>
      <c r="Q598" s="7" t="str">
        <f t="shared" si="79"/>
        <v>High engagement</v>
      </c>
    </row>
    <row r="599" spans="1:17">
      <c r="A599">
        <v>1017</v>
      </c>
      <c r="B599" t="s">
        <v>74</v>
      </c>
      <c r="C599" s="9" t="str">
        <f t="shared" si="72"/>
        <v>Sofia Rossi</v>
      </c>
      <c r="D599" s="7" t="str">
        <f t="shared" si="73"/>
        <v>Sofia Rossi</v>
      </c>
      <c r="E599">
        <v>36</v>
      </c>
      <c r="F599" s="7">
        <f t="shared" si="74"/>
        <v>36</v>
      </c>
      <c r="G599" t="s">
        <v>44</v>
      </c>
      <c r="H599" s="7" t="str">
        <f t="shared" si="75"/>
        <v>UAE</v>
      </c>
      <c r="I599" t="s">
        <v>593</v>
      </c>
      <c r="J599" s="7" t="str">
        <f>TEXT(
  IFERROR(
    DATEVALUE(SUBSTITUTE(SUBSTITUTE(TRIM(I599),"T"," "),"Z","")),
    IFERROR(
      DATE(
        RIGHT(TRIM(I599),4),
        MID(TRIM(I599),4,2),
        LEFT(TRIM(I599),2)
      ),
      DATE(
        VALUE(RIGHT(TRIM(I599),4)),
        MATCH(LEFT(TRIM(I599),FIND(" ",TRIM(I599))-1),
          {"January","February","March","April","May","June","July","August","September","October","November","December"},0),
        VALUE(MID(TRIM(I599),
          FIND(" ",TRIM(I599))+1,
          FIND(" ",TRIM(I599),FIND(" ",TRIM(I599))+1)-FIND(" ",TRIM(I599))-1))
      )
    )
  ),
"yyyy-mm-dd")</f>
        <v>2023-05-07</v>
      </c>
      <c r="K599" s="5" t="str">
        <f t="shared" si="76"/>
        <v>May</v>
      </c>
      <c r="L599">
        <v>1677640907</v>
      </c>
      <c r="M599" s="11">
        <f t="shared" si="77"/>
        <v>44986.140127314815</v>
      </c>
      <c r="N599">
        <v>1096.58</v>
      </c>
      <c r="O599" s="7">
        <f t="shared" si="78"/>
        <v>1096.58</v>
      </c>
      <c r="P599" t="s">
        <v>40</v>
      </c>
      <c r="Q599" s="7" t="str">
        <f t="shared" si="79"/>
        <v xml:space="preserve">VIP client </v>
      </c>
    </row>
    <row r="600" spans="1:17">
      <c r="A600">
        <v>1372</v>
      </c>
      <c r="B600" t="s">
        <v>104</v>
      </c>
      <c r="C600" s="9" t="str">
        <f t="shared" si="72"/>
        <v>David Brown</v>
      </c>
      <c r="D600" s="7" t="str">
        <f t="shared" si="73"/>
        <v>David Brown</v>
      </c>
      <c r="E600">
        <v>58</v>
      </c>
      <c r="F600" s="7">
        <f t="shared" si="74"/>
        <v>58</v>
      </c>
      <c r="G600" t="s">
        <v>18</v>
      </c>
      <c r="H600" s="7" t="str">
        <f t="shared" si="75"/>
        <v>United Kingdom</v>
      </c>
      <c r="I600" t="s">
        <v>594</v>
      </c>
      <c r="J600" s="7" t="str">
        <f>TEXT(
  IFERROR(
    DATEVALUE(SUBSTITUTE(SUBSTITUTE(TRIM(I600),"T"," "),"Z","")),
    IFERROR(
      DATE(
        RIGHT(TRIM(I600),4),
        MID(TRIM(I600),4,2),
        LEFT(TRIM(I600),2)
      ),
      DATE(
        VALUE(RIGHT(TRIM(I600),4)),
        MATCH(LEFT(TRIM(I600),FIND(" ",TRIM(I600))-1),
          {"January","February","March","April","May","June","July","August","September","October","November","December"},0),
        VALUE(MID(TRIM(I600),
          FIND(" ",TRIM(I600))+1,
          FIND(" ",TRIM(I600),FIND(" ",TRIM(I600))+1)-FIND(" ",TRIM(I600))-1))
      )
    )
  ),
"yyyy-mm-dd")</f>
        <v>2023-04-28</v>
      </c>
      <c r="K600" s="5" t="str">
        <f t="shared" si="76"/>
        <v>Apr</v>
      </c>
      <c r="L600">
        <v>1676963110</v>
      </c>
      <c r="M600" s="11">
        <f t="shared" si="77"/>
        <v>44978.295254629629</v>
      </c>
      <c r="O600" s="7">
        <f t="shared" si="78"/>
        <v>0</v>
      </c>
      <c r="P600" t="s">
        <v>40</v>
      </c>
      <c r="Q600" s="7" t="str">
        <f t="shared" si="79"/>
        <v xml:space="preserve">VIP client </v>
      </c>
    </row>
    <row r="601" spans="1:17">
      <c r="A601">
        <v>1506</v>
      </c>
      <c r="B601" t="s">
        <v>41</v>
      </c>
      <c r="C601" s="9" t="str">
        <f t="shared" si="72"/>
        <v>Lucas Silva</v>
      </c>
      <c r="D601" s="7" t="str">
        <f t="shared" si="73"/>
        <v>Lucas Silva</v>
      </c>
      <c r="E601">
        <v>29</v>
      </c>
      <c r="F601" s="7">
        <f t="shared" si="74"/>
        <v>29</v>
      </c>
      <c r="G601" t="s">
        <v>29</v>
      </c>
      <c r="H601" s="7" t="str">
        <f t="shared" si="75"/>
        <v>United States</v>
      </c>
      <c r="I601" t="s">
        <v>595</v>
      </c>
      <c r="J601" s="7" t="str">
        <f>TEXT(
  IFERROR(
    DATEVALUE(SUBSTITUTE(SUBSTITUTE(TRIM(I601),"T"," "),"Z","")),
    IFERROR(
      DATE(
        RIGHT(TRIM(I601),4),
        MID(TRIM(I601),4,2),
        LEFT(TRIM(I601),2)
      ),
      DATE(
        VALUE(RIGHT(TRIM(I601),4)),
        MATCH(LEFT(TRIM(I601),FIND(" ",TRIM(I601))-1),
          {"January","February","March","April","May","June","July","August","September","October","November","December"},0),
        VALUE(MID(TRIM(I601),
          FIND(" ",TRIM(I601))+1,
          FIND(" ",TRIM(I601),FIND(" ",TRIM(I601))+1)-FIND(" ",TRIM(I601))-1))
      )
    )
  ),
"yyyy-mm-dd")</f>
        <v>2023-05-12</v>
      </c>
      <c r="K601" s="5" t="str">
        <f t="shared" si="76"/>
        <v>May</v>
      </c>
      <c r="L601">
        <v>1679636786</v>
      </c>
      <c r="M601" s="11">
        <f t="shared" si="77"/>
        <v>45009.240578703699</v>
      </c>
      <c r="O601" s="7">
        <f t="shared" si="78"/>
        <v>0</v>
      </c>
      <c r="P601" t="s">
        <v>27</v>
      </c>
      <c r="Q601" s="7" t="str">
        <f t="shared" si="79"/>
        <v xml:space="preserve">Holiday signup </v>
      </c>
    </row>
    <row r="602" spans="1:17">
      <c r="A602">
        <v>1268</v>
      </c>
      <c r="B602" t="s">
        <v>185</v>
      </c>
      <c r="C602" s="9" t="str">
        <f t="shared" si="72"/>
        <v>Liam O’Connor</v>
      </c>
      <c r="D602" s="7" t="str">
        <f t="shared" si="73"/>
        <v>Liam O’Connor</v>
      </c>
      <c r="E602">
        <v>20</v>
      </c>
      <c r="F602" s="7">
        <f t="shared" si="74"/>
        <v>20</v>
      </c>
      <c r="G602" t="s">
        <v>22</v>
      </c>
      <c r="H602" s="7" t="str">
        <f t="shared" si="75"/>
        <v>Germany</v>
      </c>
      <c r="I602" t="s">
        <v>596</v>
      </c>
      <c r="J602" s="7" t="str">
        <f>TEXT(
  IFERROR(
    DATEVALUE(SUBSTITUTE(SUBSTITUTE(TRIM(I602),"T"," "),"Z","")),
    IFERROR(
      DATE(
        RIGHT(TRIM(I602),4),
        MID(TRIM(I602),4,2),
        LEFT(TRIM(I602),2)
      ),
      DATE(
        VALUE(RIGHT(TRIM(I602),4)),
        MATCH(LEFT(TRIM(I602),FIND(" ",TRIM(I602))-1),
          {"January","February","March","April","May","June","July","August","September","October","November","December"},0),
        VALUE(MID(TRIM(I602),
          FIND(" ",TRIM(I602))+1,
          FIND(" ",TRIM(I602),FIND(" ",TRIM(I602))+1)-FIND(" ",TRIM(I602))-1))
      )
    )
  ),
"yyyy-mm-dd")</f>
        <v>2023-04-09</v>
      </c>
      <c r="K602" s="5" t="str">
        <f t="shared" si="76"/>
        <v>Apr</v>
      </c>
      <c r="L602">
        <v>1703578648</v>
      </c>
      <c r="M602" s="11">
        <f t="shared" si="77"/>
        <v>45286.345462962963</v>
      </c>
      <c r="O602" s="7">
        <f t="shared" si="78"/>
        <v>0</v>
      </c>
      <c r="P602" t="s">
        <v>58</v>
      </c>
      <c r="Q602" s="7" t="str">
        <f t="shared" si="79"/>
        <v>Student account</v>
      </c>
    </row>
    <row r="603" spans="1:17">
      <c r="A603">
        <v>1972</v>
      </c>
      <c r="B603" t="s">
        <v>97</v>
      </c>
      <c r="C603" s="9" t="str">
        <f t="shared" si="72"/>
        <v>Björn Larsson</v>
      </c>
      <c r="D603" s="7" t="str">
        <f t="shared" si="73"/>
        <v xml:space="preserve"> Björn Larsson </v>
      </c>
      <c r="E603">
        <v>64</v>
      </c>
      <c r="F603" s="7">
        <f t="shared" si="74"/>
        <v>64</v>
      </c>
      <c r="G603" t="s">
        <v>18</v>
      </c>
      <c r="H603" s="7" t="str">
        <f t="shared" si="75"/>
        <v>United Kingdom</v>
      </c>
      <c r="I603" t="s">
        <v>596</v>
      </c>
      <c r="J603" s="7" t="str">
        <f>TEXT(
  IFERROR(
    DATEVALUE(SUBSTITUTE(SUBSTITUTE(TRIM(I603),"T"," "),"Z","")),
    IFERROR(
      DATE(
        RIGHT(TRIM(I603),4),
        MID(TRIM(I603),4,2),
        LEFT(TRIM(I603),2)
      ),
      DATE(
        VALUE(RIGHT(TRIM(I603),4)),
        MATCH(LEFT(TRIM(I603),FIND(" ",TRIM(I603))-1),
          {"January","February","March","April","May","June","July","August","September","October","November","December"},0),
        VALUE(MID(TRIM(I603),
          FIND(" ",TRIM(I603))+1,
          FIND(" ",TRIM(I603),FIND(" ",TRIM(I603))+1)-FIND(" ",TRIM(I603))-1))
      )
    )
  ),
"yyyy-mm-dd")</f>
        <v>2023-04-09</v>
      </c>
      <c r="K603" s="5" t="str">
        <f t="shared" si="76"/>
        <v>Apr</v>
      </c>
      <c r="L603">
        <v>1690995569</v>
      </c>
      <c r="M603" s="11">
        <f t="shared" si="77"/>
        <v>45140.707974537036</v>
      </c>
      <c r="O603" s="7">
        <f t="shared" si="78"/>
        <v>0</v>
      </c>
      <c r="P603" t="s">
        <v>84</v>
      </c>
      <c r="Q603" s="7" t="str">
        <f t="shared" si="79"/>
        <v xml:space="preserve">Newsletter subscriber </v>
      </c>
    </row>
    <row r="604" spans="1:17">
      <c r="A604">
        <v>1919</v>
      </c>
      <c r="B604" t="s">
        <v>185</v>
      </c>
      <c r="C604" s="9" t="str">
        <f t="shared" si="72"/>
        <v>Liam O’Connor</v>
      </c>
      <c r="D604" s="7" t="str">
        <f t="shared" si="73"/>
        <v>Liam O’Connor</v>
      </c>
      <c r="F604" s="7">
        <f t="shared" si="74"/>
        <v>43</v>
      </c>
      <c r="G604" t="s">
        <v>44</v>
      </c>
      <c r="H604" s="7" t="str">
        <f t="shared" si="75"/>
        <v>UAE</v>
      </c>
      <c r="I604" t="s">
        <v>597</v>
      </c>
      <c r="J604" s="7" t="str">
        <f>TEXT(
  IFERROR(
    DATEVALUE(SUBSTITUTE(SUBSTITUTE(TRIM(I604),"T"," "),"Z","")),
    IFERROR(
      DATE(
        RIGHT(TRIM(I604),4),
        MID(TRIM(I604),4,2),
        LEFT(TRIM(I604),2)
      ),
      DATE(
        VALUE(RIGHT(TRIM(I604),4)),
        MATCH(LEFT(TRIM(I604),FIND(" ",TRIM(I604))-1),
          {"January","February","March","April","May","June","July","August","September","October","November","December"},0),
        VALUE(MID(TRIM(I604),
          FIND(" ",TRIM(I604))+1,
          FIND(" ",TRIM(I604),FIND(" ",TRIM(I604))+1)-FIND(" ",TRIM(I604))-1))
      )
    )
  ),
"yyyy-mm-dd")</f>
        <v>2023-09-26</v>
      </c>
      <c r="K604" s="5" t="str">
        <f t="shared" si="76"/>
        <v>Sep</v>
      </c>
      <c r="L604">
        <v>1699061702</v>
      </c>
      <c r="M604" s="11">
        <f t="shared" si="77"/>
        <v>45234.065995370373</v>
      </c>
      <c r="O604" s="7">
        <f t="shared" si="78"/>
        <v>0</v>
      </c>
      <c r="P604" t="s">
        <v>33</v>
      </c>
      <c r="Q604" s="7" t="str">
        <f t="shared" si="79"/>
        <v>Frequent buyer n</v>
      </c>
    </row>
    <row r="605" spans="1:17">
      <c r="A605">
        <v>1594</v>
      </c>
      <c r="B605" t="s">
        <v>28</v>
      </c>
      <c r="C605" s="9" t="str">
        <f t="shared" si="72"/>
        <v>Maria Lopez</v>
      </c>
      <c r="D605" s="7" t="str">
        <f t="shared" si="73"/>
        <v>Maria Lopez</v>
      </c>
      <c r="E605">
        <v>21</v>
      </c>
      <c r="F605" s="7">
        <f t="shared" si="74"/>
        <v>21</v>
      </c>
      <c r="G605" t="s">
        <v>116</v>
      </c>
      <c r="H605" s="7" t="str">
        <f t="shared" si="75"/>
        <v>China</v>
      </c>
      <c r="I605" t="s">
        <v>598</v>
      </c>
      <c r="J605" s="7" t="str">
        <f>TEXT(
  IFERROR(
    DATEVALUE(SUBSTITUTE(SUBSTITUTE(TRIM(I605),"T"," "),"Z","")),
    IFERROR(
      DATE(
        RIGHT(TRIM(I605),4),
        MID(TRIM(I605),4,2),
        LEFT(TRIM(I605),2)
      ),
      DATE(
        VALUE(RIGHT(TRIM(I605),4)),
        MATCH(LEFT(TRIM(I605),FIND(" ",TRIM(I605))-1),
          {"January","February","March","April","May","June","July","August","September","October","November","December"},0),
        VALUE(MID(TRIM(I605),
          FIND(" ",TRIM(I605))+1,
          FIND(" ",TRIM(I605),FIND(" ",TRIM(I605))+1)-FIND(" ",TRIM(I605))-1))
      )
    )
  ),
"yyyy-mm-dd")</f>
        <v>2023-09-11</v>
      </c>
      <c r="K605" s="5" t="str">
        <f t="shared" si="76"/>
        <v>Sep</v>
      </c>
      <c r="L605">
        <v>1701724936</v>
      </c>
      <c r="M605" s="11">
        <f t="shared" si="77"/>
        <v>45264.890462962961</v>
      </c>
      <c r="N605">
        <v>775.1</v>
      </c>
      <c r="O605" s="7">
        <f t="shared" si="78"/>
        <v>775.1</v>
      </c>
      <c r="P605" t="s">
        <v>33</v>
      </c>
      <c r="Q605" s="7" t="str">
        <f t="shared" si="79"/>
        <v>Frequent buyer n</v>
      </c>
    </row>
    <row r="606" spans="1:17">
      <c r="A606">
        <v>1019</v>
      </c>
      <c r="B606" t="s">
        <v>80</v>
      </c>
      <c r="C606" s="9" t="str">
        <f t="shared" si="72"/>
        <v>Ahmed Hassan</v>
      </c>
      <c r="D606" s="7" t="str">
        <f t="shared" si="73"/>
        <v>Ahmed Hassan</v>
      </c>
      <c r="E606">
        <v>64</v>
      </c>
      <c r="F606" s="7">
        <f t="shared" si="74"/>
        <v>64</v>
      </c>
      <c r="G606" t="s">
        <v>54</v>
      </c>
      <c r="H606" s="7" t="str">
        <f t="shared" si="75"/>
        <v>Brazil</v>
      </c>
      <c r="I606" t="s">
        <v>599</v>
      </c>
      <c r="J606" s="7" t="str">
        <f>TEXT(
  IFERROR(
    DATEVALUE(SUBSTITUTE(SUBSTITUTE(TRIM(I606),"T"," "),"Z","")),
    IFERROR(
      DATE(
        RIGHT(TRIM(I606),4),
        MID(TRIM(I606),4,2),
        LEFT(TRIM(I606),2)
      ),
      DATE(
        VALUE(RIGHT(TRIM(I606),4)),
        MATCH(LEFT(TRIM(I606),FIND(" ",TRIM(I606))-1),
          {"January","February","March","April","May","June","July","August","September","October","November","December"},0),
        VALUE(MID(TRIM(I606),
          FIND(" ",TRIM(I606))+1,
          FIND(" ",TRIM(I606),FIND(" ",TRIM(I606))+1)-FIND(" ",TRIM(I606))-1))
      )
    )
  ),
"yyyy-mm-dd")</f>
        <v>2023-06-05</v>
      </c>
      <c r="K606" s="5" t="str">
        <f t="shared" si="76"/>
        <v>Jun</v>
      </c>
      <c r="L606">
        <v>1682468315</v>
      </c>
      <c r="M606" s="11">
        <f t="shared" si="77"/>
        <v>45042.01290509259</v>
      </c>
      <c r="N606">
        <v>1065.3</v>
      </c>
      <c r="O606" s="7">
        <f t="shared" si="78"/>
        <v>1065.3</v>
      </c>
      <c r="P606" t="s">
        <v>33</v>
      </c>
      <c r="Q606" s="7" t="str">
        <f t="shared" si="79"/>
        <v>Frequent buyer n</v>
      </c>
    </row>
    <row r="607" spans="1:17">
      <c r="A607">
        <v>1459</v>
      </c>
      <c r="B607" t="s">
        <v>28</v>
      </c>
      <c r="C607" s="9" t="str">
        <f t="shared" si="72"/>
        <v>Maria Lopez</v>
      </c>
      <c r="D607" s="7" t="str">
        <f t="shared" si="73"/>
        <v>Maria Lopez</v>
      </c>
      <c r="E607">
        <v>20</v>
      </c>
      <c r="F607" s="7">
        <f t="shared" si="74"/>
        <v>20</v>
      </c>
      <c r="G607" t="s">
        <v>18</v>
      </c>
      <c r="H607" s="7" t="str">
        <f t="shared" si="75"/>
        <v>United Kingdom</v>
      </c>
      <c r="I607" t="s">
        <v>600</v>
      </c>
      <c r="J607" s="7" t="str">
        <f>TEXT(
  IFERROR(
    DATEVALUE(SUBSTITUTE(SUBSTITUTE(TRIM(I607),"T"," "),"Z","")),
    IFERROR(
      DATE(
        RIGHT(TRIM(I607),4),
        MID(TRIM(I607),4,2),
        LEFT(TRIM(I607),2)
      ),
      DATE(
        VALUE(RIGHT(TRIM(I607),4)),
        MATCH(LEFT(TRIM(I607),FIND(" ",TRIM(I607))-1),
          {"January","February","March","April","May","June","July","August","September","October","November","December"},0),
        VALUE(MID(TRIM(I607),
          FIND(" ",TRIM(I607))+1,
          FIND(" ",TRIM(I607),FIND(" ",TRIM(I607))+1)-FIND(" ",TRIM(I607))-1))
      )
    )
  ),
"yyyy-mm-dd")</f>
        <v>2023-05-23</v>
      </c>
      <c r="K607" s="5" t="str">
        <f t="shared" si="76"/>
        <v>May</v>
      </c>
      <c r="L607">
        <v>1681598287</v>
      </c>
      <c r="M607" s="11">
        <f t="shared" si="77"/>
        <v>45031.943136574075</v>
      </c>
      <c r="N607">
        <v>1311.34</v>
      </c>
      <c r="O607" s="7">
        <f t="shared" si="78"/>
        <v>1311.34</v>
      </c>
      <c r="P607" t="s">
        <v>40</v>
      </c>
      <c r="Q607" s="7" t="str">
        <f t="shared" si="79"/>
        <v xml:space="preserve">VIP client </v>
      </c>
    </row>
    <row r="608" spans="1:17">
      <c r="A608">
        <v>2195</v>
      </c>
      <c r="B608" t="s">
        <v>140</v>
      </c>
      <c r="C608" s="9" t="str">
        <f t="shared" si="72"/>
        <v>Anne Müller</v>
      </c>
      <c r="D608" s="7" t="str">
        <f t="shared" si="73"/>
        <v>Anne Müller</v>
      </c>
      <c r="E608">
        <v>42</v>
      </c>
      <c r="F608" s="7">
        <f t="shared" si="74"/>
        <v>42</v>
      </c>
      <c r="G608" t="s">
        <v>54</v>
      </c>
      <c r="H608" s="7" t="str">
        <f t="shared" si="75"/>
        <v>Brazil</v>
      </c>
      <c r="I608" t="s">
        <v>601</v>
      </c>
      <c r="J608" s="7" t="str">
        <f>TEXT(
  IFERROR(
    DATEVALUE(SUBSTITUTE(SUBSTITUTE(TRIM(I608),"T"," "),"Z","")),
    IFERROR(
      DATE(
        RIGHT(TRIM(I608),4),
        MID(TRIM(I608),4,2),
        LEFT(TRIM(I608),2)
      ),
      DATE(
        VALUE(RIGHT(TRIM(I608),4)),
        MATCH(LEFT(TRIM(I608),FIND(" ",TRIM(I608))-1),
          {"January","February","March","April","May","June","July","August","September","October","November","December"},0),
        VALUE(MID(TRIM(I608),
          FIND(" ",TRIM(I608))+1,
          FIND(" ",TRIM(I608),FIND(" ",TRIM(I608))+1)-FIND(" ",TRIM(I608))-1))
      )
    )
  ),
"yyyy-mm-dd")</f>
        <v>2023-11-17</v>
      </c>
      <c r="K608" s="5" t="str">
        <f t="shared" si="76"/>
        <v>Nov</v>
      </c>
      <c r="L608">
        <v>1691008391</v>
      </c>
      <c r="M608" s="11">
        <f t="shared" si="77"/>
        <v>45140.85637731482</v>
      </c>
      <c r="O608" s="7">
        <f t="shared" si="78"/>
        <v>0</v>
      </c>
      <c r="P608" t="s">
        <v>40</v>
      </c>
      <c r="Q608" s="7" t="str">
        <f t="shared" si="79"/>
        <v xml:space="preserve">VIP client </v>
      </c>
    </row>
    <row r="609" spans="1:17">
      <c r="A609">
        <v>1665</v>
      </c>
      <c r="B609" t="s">
        <v>85</v>
      </c>
      <c r="C609" s="9" t="str">
        <f t="shared" si="72"/>
        <v>Akira Tanaka</v>
      </c>
      <c r="D609" s="7" t="str">
        <f t="shared" si="73"/>
        <v xml:space="preserve"> Akira Tanaka </v>
      </c>
      <c r="E609">
        <v>58</v>
      </c>
      <c r="F609" s="7">
        <f t="shared" si="74"/>
        <v>58</v>
      </c>
      <c r="G609" t="s">
        <v>111</v>
      </c>
      <c r="H609" s="7" t="str">
        <f t="shared" si="75"/>
        <v>South Korea</v>
      </c>
      <c r="I609" t="s">
        <v>602</v>
      </c>
      <c r="J609" s="7" t="str">
        <f>TEXT(
  IFERROR(
    DATEVALUE(SUBSTITUTE(SUBSTITUTE(TRIM(I609),"T"," "),"Z","")),
    IFERROR(
      DATE(
        RIGHT(TRIM(I609),4),
        MID(TRIM(I609),4,2),
        LEFT(TRIM(I609),2)
      ),
      DATE(
        VALUE(RIGHT(TRIM(I609),4)),
        MATCH(LEFT(TRIM(I609),FIND(" ",TRIM(I609))-1),
          {"January","February","March","April","May","June","July","August","September","October","November","December"},0),
        VALUE(MID(TRIM(I609),
          FIND(" ",TRIM(I609))+1,
          FIND(" ",TRIM(I609),FIND(" ",TRIM(I609))+1)-FIND(" ",TRIM(I609))-1))
      )
    )
  ),
"yyyy-mm-dd")</f>
        <v>2023-04-29</v>
      </c>
      <c r="K609" s="5" t="str">
        <f t="shared" si="76"/>
        <v>Apr</v>
      </c>
      <c r="L609">
        <v>1684893506</v>
      </c>
      <c r="M609" s="11">
        <f t="shared" si="77"/>
        <v>45070.082245370373</v>
      </c>
      <c r="O609" s="7">
        <f t="shared" si="78"/>
        <v>0</v>
      </c>
      <c r="P609" t="s">
        <v>52</v>
      </c>
      <c r="Q609" s="7" t="str">
        <f t="shared" si="79"/>
        <v xml:space="preserve">Prefers email </v>
      </c>
    </row>
    <row r="610" spans="1:17">
      <c r="A610">
        <v>2016</v>
      </c>
      <c r="B610" t="s">
        <v>124</v>
      </c>
      <c r="C610" s="9" t="str">
        <f t="shared" si="72"/>
        <v>Sarah Johnson</v>
      </c>
      <c r="D610" s="7" t="str">
        <f t="shared" si="73"/>
        <v>Sarah Johnson</v>
      </c>
      <c r="E610">
        <v>30</v>
      </c>
      <c r="F610" s="7">
        <f t="shared" si="74"/>
        <v>30</v>
      </c>
      <c r="G610" t="s">
        <v>60</v>
      </c>
      <c r="H610" s="7" t="str">
        <f t="shared" si="75"/>
        <v>Egypt</v>
      </c>
      <c r="I610" t="s">
        <v>585</v>
      </c>
      <c r="J610" s="7" t="str">
        <f>TEXT(
  IFERROR(
    DATEVALUE(SUBSTITUTE(SUBSTITUTE(TRIM(I610),"T"," "),"Z","")),
    IFERROR(
      DATE(
        RIGHT(TRIM(I610),4),
        MID(TRIM(I610),4,2),
        LEFT(TRIM(I610),2)
      ),
      DATE(
        VALUE(RIGHT(TRIM(I610),4)),
        MATCH(LEFT(TRIM(I610),FIND(" ",TRIM(I610))-1),
          {"January","February","March","April","May","June","July","August","September","October","November","December"},0),
        VALUE(MID(TRIM(I610),
          FIND(" ",TRIM(I610))+1,
          FIND(" ",TRIM(I610),FIND(" ",TRIM(I610))+1)-FIND(" ",TRIM(I610))-1))
      )
    )
  ),
"yyyy-mm-dd")</f>
        <v>2023-03-04</v>
      </c>
      <c r="K610" s="5" t="str">
        <f t="shared" si="76"/>
        <v>Mar</v>
      </c>
      <c r="L610">
        <v>1673230230</v>
      </c>
      <c r="M610" s="11">
        <f t="shared" si="77"/>
        <v>44935.090624999997</v>
      </c>
      <c r="N610">
        <v>472.14</v>
      </c>
      <c r="O610" s="7">
        <f t="shared" si="78"/>
        <v>472.14</v>
      </c>
      <c r="P610" t="s">
        <v>118</v>
      </c>
      <c r="Q610" s="7" t="str">
        <f t="shared" si="79"/>
        <v>High engagement</v>
      </c>
    </row>
    <row r="611" spans="1:17">
      <c r="A611">
        <v>1205</v>
      </c>
      <c r="B611" t="s">
        <v>126</v>
      </c>
      <c r="C611" s="9" t="str">
        <f t="shared" si="72"/>
        <v>Noah Martin</v>
      </c>
      <c r="D611" s="7" t="str">
        <f t="shared" si="73"/>
        <v>Noah Martin</v>
      </c>
      <c r="E611">
        <v>18</v>
      </c>
      <c r="F611" s="7">
        <f t="shared" si="74"/>
        <v>18</v>
      </c>
      <c r="G611" t="s">
        <v>29</v>
      </c>
      <c r="H611" s="7" t="str">
        <f t="shared" si="75"/>
        <v>United States</v>
      </c>
      <c r="I611" t="s">
        <v>603</v>
      </c>
      <c r="J611" s="7" t="str">
        <f>TEXT(
  IFERROR(
    DATEVALUE(SUBSTITUTE(SUBSTITUTE(TRIM(I611),"T"," "),"Z","")),
    IFERROR(
      DATE(
        RIGHT(TRIM(I611),4),
        MID(TRIM(I611),4,2),
        LEFT(TRIM(I611),2)
      ),
      DATE(
        VALUE(RIGHT(TRIM(I611),4)),
        MATCH(LEFT(TRIM(I611),FIND(" ",TRIM(I611))-1),
          {"January","February","March","April","May","June","July","August","September","October","November","December"},0),
        VALUE(MID(TRIM(I611),
          FIND(" ",TRIM(I611))+1,
          FIND(" ",TRIM(I611),FIND(" ",TRIM(I611))+1)-FIND(" ",TRIM(I611))-1))
      )
    )
  ),
"yyyy-mm-dd")</f>
        <v>2023-03-09</v>
      </c>
      <c r="K611" s="5" t="str">
        <f t="shared" si="76"/>
        <v>Mar</v>
      </c>
      <c r="L611">
        <v>1698364859</v>
      </c>
      <c r="M611" s="11">
        <f t="shared" si="77"/>
        <v>45226.00068287037</v>
      </c>
      <c r="N611">
        <v>134.56</v>
      </c>
      <c r="O611" s="7">
        <f t="shared" si="78"/>
        <v>134.56</v>
      </c>
      <c r="P611" t="s">
        <v>27</v>
      </c>
      <c r="Q611" s="7" t="str">
        <f t="shared" si="79"/>
        <v xml:space="preserve">Holiday signup </v>
      </c>
    </row>
    <row r="612" spans="1:17">
      <c r="A612">
        <v>1028</v>
      </c>
      <c r="B612" t="s">
        <v>17</v>
      </c>
      <c r="C612" s="9" t="str">
        <f t="shared" si="72"/>
        <v>John Smith</v>
      </c>
      <c r="D612" s="7" t="str">
        <f t="shared" si="73"/>
        <v>John Smith</v>
      </c>
      <c r="E612">
        <v>52</v>
      </c>
      <c r="F612" s="7">
        <f t="shared" si="74"/>
        <v>52</v>
      </c>
      <c r="G612" t="s">
        <v>25</v>
      </c>
      <c r="H612" s="7" t="str">
        <f t="shared" si="75"/>
        <v>Japan</v>
      </c>
      <c r="I612" t="s">
        <v>604</v>
      </c>
      <c r="J612" s="7" t="str">
        <f>TEXT(
  IFERROR(
    DATEVALUE(SUBSTITUTE(SUBSTITUTE(TRIM(I612),"T"," "),"Z","")),
    IFERROR(
      DATE(
        RIGHT(TRIM(I612),4),
        MID(TRIM(I612),4,2),
        LEFT(TRIM(I612),2)
      ),
      DATE(
        VALUE(RIGHT(TRIM(I612),4)),
        MATCH(LEFT(TRIM(I612),FIND(" ",TRIM(I612))-1),
          {"January","February","March","April","May","June","July","August","September","October","November","December"},0),
        VALUE(MID(TRIM(I612),
          FIND(" ",TRIM(I612))+1,
          FIND(" ",TRIM(I612),FIND(" ",TRIM(I612))+1)-FIND(" ",TRIM(I612))-1))
      )
    )
  ),
"yyyy-mm-dd")</f>
        <v>2023-12-29</v>
      </c>
      <c r="K612" s="5" t="str">
        <f t="shared" si="76"/>
        <v>Dec</v>
      </c>
      <c r="L612">
        <v>1679312787</v>
      </c>
      <c r="M612" s="11">
        <f t="shared" si="77"/>
        <v>45005.490590277783</v>
      </c>
      <c r="O612" s="7">
        <f t="shared" si="78"/>
        <v>0</v>
      </c>
      <c r="P612" t="s">
        <v>33</v>
      </c>
      <c r="Q612" s="7" t="str">
        <f t="shared" si="79"/>
        <v>Frequent buyer n</v>
      </c>
    </row>
    <row r="613" spans="1:17">
      <c r="A613">
        <v>1630</v>
      </c>
      <c r="B613" t="s">
        <v>41</v>
      </c>
      <c r="C613" s="9" t="str">
        <f t="shared" si="72"/>
        <v>Lucas Silva</v>
      </c>
      <c r="D613" s="7" t="str">
        <f t="shared" si="73"/>
        <v>Lucas Silva</v>
      </c>
      <c r="E613">
        <v>21</v>
      </c>
      <c r="F613" s="7">
        <f t="shared" si="74"/>
        <v>21</v>
      </c>
      <c r="G613" t="s">
        <v>54</v>
      </c>
      <c r="H613" s="7" t="str">
        <f t="shared" si="75"/>
        <v>Brazil</v>
      </c>
      <c r="I613" t="s">
        <v>605</v>
      </c>
      <c r="J613" s="7" t="str">
        <f>TEXT(
  IFERROR(
    DATEVALUE(SUBSTITUTE(SUBSTITUTE(TRIM(I613),"T"," "),"Z","")),
    IFERROR(
      DATE(
        RIGHT(TRIM(I613),4),
        MID(TRIM(I613),4,2),
        LEFT(TRIM(I613),2)
      ),
      DATE(
        VALUE(RIGHT(TRIM(I613),4)),
        MATCH(LEFT(TRIM(I613),FIND(" ",TRIM(I613))-1),
          {"January","February","March","April","May","June","July","August","September","October","November","December"},0),
        VALUE(MID(TRIM(I613),
          FIND(" ",TRIM(I613))+1,
          FIND(" ",TRIM(I613),FIND(" ",TRIM(I613))+1)-FIND(" ",TRIM(I613))-1))
      )
    )
  ),
"yyyy-mm-dd")</f>
        <v>2023-11-18</v>
      </c>
      <c r="K613" s="5" t="str">
        <f t="shared" si="76"/>
        <v>Nov</v>
      </c>
      <c r="L613">
        <v>1676653729</v>
      </c>
      <c r="M613" s="11">
        <f t="shared" si="77"/>
        <v>44974.714456018519</v>
      </c>
      <c r="N613">
        <v>41.6</v>
      </c>
      <c r="O613" s="7">
        <f t="shared" si="78"/>
        <v>41.6</v>
      </c>
      <c r="P613" t="s">
        <v>52</v>
      </c>
      <c r="Q613" s="7" t="str">
        <f t="shared" si="79"/>
        <v xml:space="preserve">Prefers email </v>
      </c>
    </row>
    <row r="614" spans="1:17">
      <c r="A614">
        <v>2116</v>
      </c>
      <c r="B614" t="s">
        <v>240</v>
      </c>
      <c r="C614" s="9" t="str">
        <f t="shared" si="72"/>
        <v>Fatima Ali</v>
      </c>
      <c r="D614" s="7" t="str">
        <f t="shared" si="73"/>
        <v xml:space="preserve"> Fatima Ali </v>
      </c>
      <c r="E614">
        <v>44</v>
      </c>
      <c r="F614" s="7">
        <f t="shared" si="74"/>
        <v>44</v>
      </c>
      <c r="G614" t="s">
        <v>38</v>
      </c>
      <c r="H614" s="7" t="str">
        <f t="shared" si="75"/>
        <v>Spain</v>
      </c>
      <c r="I614" t="s">
        <v>569</v>
      </c>
      <c r="J614" s="7" t="str">
        <f>TEXT(
  IFERROR(
    DATEVALUE(SUBSTITUTE(SUBSTITUTE(TRIM(I614),"T"," "),"Z","")),
    IFERROR(
      DATE(
        RIGHT(TRIM(I614),4),
        MID(TRIM(I614),4,2),
        LEFT(TRIM(I614),2)
      ),
      DATE(
        VALUE(RIGHT(TRIM(I614),4)),
        MATCH(LEFT(TRIM(I614),FIND(" ",TRIM(I614))-1),
          {"January","February","March","April","May","June","July","August","September","October","November","December"},0),
        VALUE(MID(TRIM(I614),
          FIND(" ",TRIM(I614))+1,
          FIND(" ",TRIM(I614),FIND(" ",TRIM(I614))+1)-FIND(" ",TRIM(I614))-1))
      )
    )
  ),
"yyyy-mm-dd")</f>
        <v>2023-01-13</v>
      </c>
      <c r="K614" s="5" t="str">
        <f t="shared" si="76"/>
        <v>Jan</v>
      </c>
      <c r="L614">
        <v>1686856286</v>
      </c>
      <c r="M614" s="11">
        <f t="shared" si="77"/>
        <v>45092.79960648148</v>
      </c>
      <c r="O614" s="7">
        <f t="shared" si="78"/>
        <v>0</v>
      </c>
      <c r="P614" t="s">
        <v>58</v>
      </c>
      <c r="Q614" s="7" t="str">
        <f t="shared" si="79"/>
        <v>Student account</v>
      </c>
    </row>
    <row r="615" spans="1:17">
      <c r="A615">
        <v>1172</v>
      </c>
      <c r="B615" t="s">
        <v>166</v>
      </c>
      <c r="C615" s="9" t="str">
        <f t="shared" si="72"/>
        <v>Daniel Kim</v>
      </c>
      <c r="D615" s="7" t="str">
        <f t="shared" si="73"/>
        <v>Daniel Kim</v>
      </c>
      <c r="E615">
        <v>54</v>
      </c>
      <c r="F615" s="7">
        <f t="shared" si="74"/>
        <v>54</v>
      </c>
      <c r="G615" t="s">
        <v>38</v>
      </c>
      <c r="H615" s="7" t="str">
        <f t="shared" si="75"/>
        <v>Spain</v>
      </c>
      <c r="I615" t="s">
        <v>371</v>
      </c>
      <c r="J615" s="7" t="str">
        <f>TEXT(
  IFERROR(
    DATEVALUE(SUBSTITUTE(SUBSTITUTE(TRIM(I615),"T"," "),"Z","")),
    IFERROR(
      DATE(
        RIGHT(TRIM(I615),4),
        MID(TRIM(I615),4,2),
        LEFT(TRIM(I615),2)
      ),
      DATE(
        VALUE(RIGHT(TRIM(I615),4)),
        MATCH(LEFT(TRIM(I615),FIND(" ",TRIM(I615))-1),
          {"January","February","March","April","May","June","July","August","September","October","November","December"},0),
        VALUE(MID(TRIM(I615),
          FIND(" ",TRIM(I615))+1,
          FIND(" ",TRIM(I615),FIND(" ",TRIM(I615))+1)-FIND(" ",TRIM(I615))-1))
      )
    )
  ),
"yyyy-mm-dd")</f>
        <v>2023-12-26</v>
      </c>
      <c r="K615" s="5" t="str">
        <f t="shared" si="76"/>
        <v>Dec</v>
      </c>
      <c r="L615">
        <v>1680415769</v>
      </c>
      <c r="M615" s="11">
        <f t="shared" si="77"/>
        <v>45018.256585648152</v>
      </c>
      <c r="N615">
        <v>548.95000000000005</v>
      </c>
      <c r="O615" s="7">
        <f t="shared" si="78"/>
        <v>548.95000000000005</v>
      </c>
      <c r="P615" t="s">
        <v>20</v>
      </c>
      <c r="Q615" s="7" t="str">
        <f t="shared" si="79"/>
        <v xml:space="preserve">Great customer </v>
      </c>
    </row>
    <row r="616" spans="1:17">
      <c r="A616">
        <v>1743</v>
      </c>
      <c r="B616" t="s">
        <v>148</v>
      </c>
      <c r="C616" s="9" t="str">
        <f t="shared" si="72"/>
        <v>Chloe Dubois</v>
      </c>
      <c r="D616" s="7" t="str">
        <f t="shared" si="73"/>
        <v>Chloe Dubois</v>
      </c>
      <c r="E616">
        <v>26</v>
      </c>
      <c r="F616" s="7">
        <f t="shared" si="74"/>
        <v>26</v>
      </c>
      <c r="G616" t="s">
        <v>122</v>
      </c>
      <c r="H616" s="7" t="str">
        <f t="shared" si="75"/>
        <v>Italy</v>
      </c>
      <c r="I616" t="s">
        <v>343</v>
      </c>
      <c r="J616" s="7" t="str">
        <f>TEXT(
  IFERROR(
    DATEVALUE(SUBSTITUTE(SUBSTITUTE(TRIM(I616),"T"," "),"Z","")),
    IFERROR(
      DATE(
        RIGHT(TRIM(I616),4),
        MID(TRIM(I616),4,2),
        LEFT(TRIM(I616),2)
      ),
      DATE(
        VALUE(RIGHT(TRIM(I616),4)),
        MATCH(LEFT(TRIM(I616),FIND(" ",TRIM(I616))-1),
          {"January","February","March","April","May","June","July","August","September","October","November","December"},0),
        VALUE(MID(TRIM(I616),
          FIND(" ",TRIM(I616))+1,
          FIND(" ",TRIM(I616),FIND(" ",TRIM(I616))+1)-FIND(" ",TRIM(I616))-1))
      )
    )
  ),
"yyyy-mm-dd")</f>
        <v>2023-07-04</v>
      </c>
      <c r="K616" s="5" t="str">
        <f t="shared" si="76"/>
        <v>Jul</v>
      </c>
      <c r="L616">
        <v>1682412400</v>
      </c>
      <c r="M616" s="11">
        <f t="shared" si="77"/>
        <v>45041.365740740745</v>
      </c>
      <c r="O616" s="7">
        <f t="shared" si="78"/>
        <v>0</v>
      </c>
      <c r="P616" t="s">
        <v>40</v>
      </c>
      <c r="Q616" s="7" t="str">
        <f t="shared" si="79"/>
        <v xml:space="preserve">VIP client </v>
      </c>
    </row>
    <row r="617" spans="1:17">
      <c r="A617">
        <v>1218</v>
      </c>
      <c r="B617" t="s">
        <v>101</v>
      </c>
      <c r="C617" s="9" t="str">
        <f t="shared" si="72"/>
        <v>Zoë Kravitz</v>
      </c>
      <c r="D617" s="7" t="str">
        <f t="shared" si="73"/>
        <v>Zoë Kravitz</v>
      </c>
      <c r="E617">
        <v>48</v>
      </c>
      <c r="F617" s="7">
        <f t="shared" si="74"/>
        <v>48</v>
      </c>
      <c r="G617" t="s">
        <v>29</v>
      </c>
      <c r="H617" s="7" t="str">
        <f t="shared" si="75"/>
        <v>United States</v>
      </c>
      <c r="I617" t="s">
        <v>606</v>
      </c>
      <c r="J617" s="7" t="str">
        <f>TEXT(
  IFERROR(
    DATEVALUE(SUBSTITUTE(SUBSTITUTE(TRIM(I617),"T"," "),"Z","")),
    IFERROR(
      DATE(
        RIGHT(TRIM(I617),4),
        MID(TRIM(I617),4,2),
        LEFT(TRIM(I617),2)
      ),
      DATE(
        VALUE(RIGHT(TRIM(I617),4)),
        MATCH(LEFT(TRIM(I617),FIND(" ",TRIM(I617))-1),
          {"January","February","March","April","May","June","July","August","September","October","November","December"},0),
        VALUE(MID(TRIM(I617),
          FIND(" ",TRIM(I617))+1,
          FIND(" ",TRIM(I617),FIND(" ",TRIM(I617))+1)-FIND(" ",TRIM(I617))-1))
      )
    )
  ),
"yyyy-mm-dd")</f>
        <v>2023-03-17</v>
      </c>
      <c r="K617" s="5" t="str">
        <f t="shared" si="76"/>
        <v>Mar</v>
      </c>
      <c r="L617">
        <v>1677264486</v>
      </c>
      <c r="M617" s="11">
        <f t="shared" si="77"/>
        <v>44981.783402777779</v>
      </c>
      <c r="N617">
        <v>127.7</v>
      </c>
      <c r="O617" s="7">
        <f t="shared" si="78"/>
        <v>127.7</v>
      </c>
      <c r="P617" t="s">
        <v>20</v>
      </c>
      <c r="Q617" s="7" t="str">
        <f t="shared" si="79"/>
        <v xml:space="preserve">Great customer </v>
      </c>
    </row>
    <row r="618" spans="1:17">
      <c r="A618">
        <v>1434</v>
      </c>
      <c r="B618" t="s">
        <v>126</v>
      </c>
      <c r="C618" s="9" t="str">
        <f t="shared" si="72"/>
        <v>Noah Martin</v>
      </c>
      <c r="D618" s="7" t="str">
        <f t="shared" si="73"/>
        <v>Noah Martin</v>
      </c>
      <c r="E618">
        <v>32</v>
      </c>
      <c r="F618" s="7">
        <f t="shared" si="74"/>
        <v>32</v>
      </c>
      <c r="G618" t="s">
        <v>62</v>
      </c>
      <c r="H618" s="7" t="str">
        <f t="shared" si="75"/>
        <v>Ireland</v>
      </c>
      <c r="I618" t="s">
        <v>607</v>
      </c>
      <c r="J618" s="7" t="str">
        <f>TEXT(
  IFERROR(
    DATEVALUE(SUBSTITUTE(SUBSTITUTE(TRIM(I618),"T"," "),"Z","")),
    IFERROR(
      DATE(
        RIGHT(TRIM(I618),4),
        MID(TRIM(I618),4,2),
        LEFT(TRIM(I618),2)
      ),
      DATE(
        VALUE(RIGHT(TRIM(I618),4)),
        MATCH(LEFT(TRIM(I618),FIND(" ",TRIM(I618))-1),
          {"January","February","March","April","May","June","July","August","September","October","November","December"},0),
        VALUE(MID(TRIM(I618),
          FIND(" ",TRIM(I618))+1,
          FIND(" ",TRIM(I618),FIND(" ",TRIM(I618))+1)-FIND(" ",TRIM(I618))-1))
      )
    )
  ),
"yyyy-mm-dd")</f>
        <v>2023-11-06</v>
      </c>
      <c r="K618" s="5" t="str">
        <f t="shared" si="76"/>
        <v>Nov</v>
      </c>
      <c r="L618">
        <v>1699923167</v>
      </c>
      <c r="M618" s="11">
        <f t="shared" si="77"/>
        <v>45244.036655092597</v>
      </c>
      <c r="O618" s="7">
        <f t="shared" si="78"/>
        <v>0</v>
      </c>
      <c r="P618" t="s">
        <v>84</v>
      </c>
      <c r="Q618" s="7" t="str">
        <f t="shared" si="79"/>
        <v xml:space="preserve">Newsletter subscriber </v>
      </c>
    </row>
    <row r="619" spans="1:17">
      <c r="A619">
        <v>1830</v>
      </c>
      <c r="B619" t="s">
        <v>198</v>
      </c>
      <c r="C619" s="9" t="str">
        <f t="shared" si="72"/>
        <v>Noah Martin</v>
      </c>
      <c r="D619" s="7" t="str">
        <f t="shared" si="73"/>
        <v xml:space="preserve"> Noah Martin </v>
      </c>
      <c r="F619" s="7">
        <f t="shared" si="74"/>
        <v>43</v>
      </c>
      <c r="G619" t="s">
        <v>22</v>
      </c>
      <c r="H619" s="7" t="str">
        <f t="shared" si="75"/>
        <v>Germany</v>
      </c>
      <c r="I619" t="s">
        <v>275</v>
      </c>
      <c r="J619" s="7" t="str">
        <f>TEXT(
  IFERROR(
    DATEVALUE(SUBSTITUTE(SUBSTITUTE(TRIM(I619),"T"," "),"Z","")),
    IFERROR(
      DATE(
        RIGHT(TRIM(I619),4),
        MID(TRIM(I619),4,2),
        LEFT(TRIM(I619),2)
      ),
      DATE(
        VALUE(RIGHT(TRIM(I619),4)),
        MATCH(LEFT(TRIM(I619),FIND(" ",TRIM(I619))-1),
          {"January","February","March","April","May","June","July","August","September","October","November","December"},0),
        VALUE(MID(TRIM(I619),
          FIND(" ",TRIM(I619))+1,
          FIND(" ",TRIM(I619),FIND(" ",TRIM(I619))+1)-FIND(" ",TRIM(I619))-1))
      )
    )
  ),
"yyyy-mm-dd")</f>
        <v>2023-05-19</v>
      </c>
      <c r="K619" s="5" t="str">
        <f t="shared" si="76"/>
        <v>May</v>
      </c>
      <c r="L619">
        <v>1676027084</v>
      </c>
      <c r="M619" s="11">
        <f t="shared" si="77"/>
        <v>44967.46162037037</v>
      </c>
      <c r="O619" s="7">
        <f t="shared" si="78"/>
        <v>0</v>
      </c>
      <c r="P619" t="s">
        <v>20</v>
      </c>
      <c r="Q619" s="7" t="str">
        <f t="shared" si="79"/>
        <v xml:space="preserve">Great customer </v>
      </c>
    </row>
    <row r="620" spans="1:17">
      <c r="A620">
        <v>1731</v>
      </c>
      <c r="B620" t="s">
        <v>97</v>
      </c>
      <c r="C620" s="9" t="str">
        <f t="shared" si="72"/>
        <v>Björn Larsson</v>
      </c>
      <c r="D620" s="7" t="str">
        <f t="shared" si="73"/>
        <v xml:space="preserve"> Björn Larsson </v>
      </c>
      <c r="E620">
        <v>43</v>
      </c>
      <c r="F620" s="7">
        <f t="shared" si="74"/>
        <v>43</v>
      </c>
      <c r="G620" t="s">
        <v>25</v>
      </c>
      <c r="H620" s="7" t="str">
        <f t="shared" si="75"/>
        <v>Japan</v>
      </c>
      <c r="I620" t="s">
        <v>608</v>
      </c>
      <c r="J620" s="7" t="str">
        <f>TEXT(
  IFERROR(
    DATEVALUE(SUBSTITUTE(SUBSTITUTE(TRIM(I620),"T"," "),"Z","")),
    IFERROR(
      DATE(
        RIGHT(TRIM(I620),4),
        MID(TRIM(I620),4,2),
        LEFT(TRIM(I620),2)
      ),
      DATE(
        VALUE(RIGHT(TRIM(I620),4)),
        MATCH(LEFT(TRIM(I620),FIND(" ",TRIM(I620))-1),
          {"January","February","March","April","May","June","July","August","September","October","November","December"},0),
        VALUE(MID(TRIM(I620),
          FIND(" ",TRIM(I620))+1,
          FIND(" ",TRIM(I620),FIND(" ",TRIM(I620))+1)-FIND(" ",TRIM(I620))-1))
      )
    )
  ),
"yyyy-mm-dd")</f>
        <v>2023-07-20</v>
      </c>
      <c r="K620" s="5" t="str">
        <f t="shared" si="76"/>
        <v>Jul</v>
      </c>
      <c r="L620">
        <v>1676869865</v>
      </c>
      <c r="M620" s="11">
        <f t="shared" si="77"/>
        <v>44977.21603009259</v>
      </c>
      <c r="N620">
        <v>1056.96</v>
      </c>
      <c r="O620" s="7">
        <f t="shared" si="78"/>
        <v>1056.96</v>
      </c>
      <c r="P620" t="s">
        <v>84</v>
      </c>
      <c r="Q620" s="7" t="str">
        <f t="shared" si="79"/>
        <v xml:space="preserve">Newsletter subscriber </v>
      </c>
    </row>
    <row r="621" spans="1:17">
      <c r="A621">
        <v>1835</v>
      </c>
      <c r="B621" t="s">
        <v>88</v>
      </c>
      <c r="C621" s="9" t="str">
        <f t="shared" si="72"/>
        <v>André Santos</v>
      </c>
      <c r="D621" s="7" t="str">
        <f t="shared" si="73"/>
        <v>André Santos</v>
      </c>
      <c r="E621">
        <v>50</v>
      </c>
      <c r="F621" s="7">
        <f t="shared" si="74"/>
        <v>50</v>
      </c>
      <c r="G621" t="s">
        <v>116</v>
      </c>
      <c r="H621" s="7" t="str">
        <f t="shared" si="75"/>
        <v>China</v>
      </c>
      <c r="I621" t="s">
        <v>609</v>
      </c>
      <c r="J621" s="7" t="str">
        <f>TEXT(
  IFERROR(
    DATEVALUE(SUBSTITUTE(SUBSTITUTE(TRIM(I621),"T"," "),"Z","")),
    IFERROR(
      DATE(
        RIGHT(TRIM(I621),4),
        MID(TRIM(I621),4,2),
        LEFT(TRIM(I621),2)
      ),
      DATE(
        VALUE(RIGHT(TRIM(I621),4)),
        MATCH(LEFT(TRIM(I621),FIND(" ",TRIM(I621))-1),
          {"January","February","March","April","May","June","July","August","September","October","November","December"},0),
        VALUE(MID(TRIM(I621),
          FIND(" ",TRIM(I621))+1,
          FIND(" ",TRIM(I621),FIND(" ",TRIM(I621))+1)-FIND(" ",TRIM(I621))-1))
      )
    )
  ),
"yyyy-mm-dd")</f>
        <v>2023-09-02</v>
      </c>
      <c r="K621" s="5" t="str">
        <f t="shared" si="76"/>
        <v>Sep</v>
      </c>
      <c r="L621">
        <v>1701676504</v>
      </c>
      <c r="M621" s="11">
        <f t="shared" si="77"/>
        <v>45264.329907407402</v>
      </c>
      <c r="O621" s="7">
        <f t="shared" si="78"/>
        <v>0</v>
      </c>
      <c r="P621" t="s">
        <v>33</v>
      </c>
      <c r="Q621" s="7" t="str">
        <f t="shared" si="79"/>
        <v>Frequent buyer n</v>
      </c>
    </row>
    <row r="622" spans="1:17">
      <c r="A622">
        <v>1311</v>
      </c>
      <c r="B622" t="s">
        <v>101</v>
      </c>
      <c r="C622" s="9" t="str">
        <f t="shared" si="72"/>
        <v>Zoë Kravitz</v>
      </c>
      <c r="D622" s="7" t="str">
        <f t="shared" si="73"/>
        <v>Zoë Kravitz</v>
      </c>
      <c r="E622">
        <v>23</v>
      </c>
      <c r="F622" s="7">
        <f t="shared" si="74"/>
        <v>23</v>
      </c>
      <c r="G622" t="s">
        <v>38</v>
      </c>
      <c r="H622" s="7" t="str">
        <f t="shared" si="75"/>
        <v>Spain</v>
      </c>
      <c r="I622" t="s">
        <v>610</v>
      </c>
      <c r="J622" s="7" t="str">
        <f>TEXT(
  IFERROR(
    DATEVALUE(SUBSTITUTE(SUBSTITUTE(TRIM(I622),"T"," "),"Z","")),
    IFERROR(
      DATE(
        RIGHT(TRIM(I622),4),
        MID(TRIM(I622),4,2),
        LEFT(TRIM(I622),2)
      ),
      DATE(
        VALUE(RIGHT(TRIM(I622),4)),
        MATCH(LEFT(TRIM(I622),FIND(" ",TRIM(I622))-1),
          {"January","February","March","April","May","June","July","August","September","October","November","December"},0),
        VALUE(MID(TRIM(I622),
          FIND(" ",TRIM(I622))+1,
          FIND(" ",TRIM(I622),FIND(" ",TRIM(I622))+1)-FIND(" ",TRIM(I622))-1))
      )
    )
  ),
"yyyy-mm-dd")</f>
        <v>2023-04-21</v>
      </c>
      <c r="K622" s="5" t="str">
        <f t="shared" si="76"/>
        <v>Apr</v>
      </c>
      <c r="L622">
        <v>1698321510</v>
      </c>
      <c r="M622" s="11">
        <f t="shared" si="77"/>
        <v>45225.498958333337</v>
      </c>
      <c r="O622" s="7">
        <f t="shared" si="78"/>
        <v>0</v>
      </c>
      <c r="P622" t="s">
        <v>36</v>
      </c>
      <c r="Q622" s="7" t="str">
        <f t="shared" si="79"/>
        <v>Regular shopper</v>
      </c>
    </row>
    <row r="623" spans="1:17">
      <c r="A623">
        <v>2019</v>
      </c>
      <c r="B623" t="s">
        <v>140</v>
      </c>
      <c r="C623" s="9" t="str">
        <f t="shared" si="72"/>
        <v>Anne Müller</v>
      </c>
      <c r="D623" s="7" t="str">
        <f t="shared" si="73"/>
        <v>Anne Müller</v>
      </c>
      <c r="E623">
        <v>37</v>
      </c>
      <c r="F623" s="7">
        <f t="shared" si="74"/>
        <v>37</v>
      </c>
      <c r="G623" t="s">
        <v>29</v>
      </c>
      <c r="H623" s="7" t="str">
        <f t="shared" si="75"/>
        <v>United States</v>
      </c>
      <c r="I623" t="s">
        <v>530</v>
      </c>
      <c r="J623" s="7" t="str">
        <f>TEXT(
  IFERROR(
    DATEVALUE(SUBSTITUTE(SUBSTITUTE(TRIM(I623),"T"," "),"Z","")),
    IFERROR(
      DATE(
        RIGHT(TRIM(I623),4),
        MID(TRIM(I623),4,2),
        LEFT(TRIM(I623),2)
      ),
      DATE(
        VALUE(RIGHT(TRIM(I623),4)),
        MATCH(LEFT(TRIM(I623),FIND(" ",TRIM(I623))-1),
          {"January","February","March","April","May","June","July","August","September","October","November","December"},0),
        VALUE(MID(TRIM(I623),
          FIND(" ",TRIM(I623))+1,
          FIND(" ",TRIM(I623),FIND(" ",TRIM(I623))+1)-FIND(" ",TRIM(I623))-1))
      )
    )
  ),
"yyyy-mm-dd")</f>
        <v>2023-09-13</v>
      </c>
      <c r="K623" s="5" t="str">
        <f t="shared" si="76"/>
        <v>Sep</v>
      </c>
      <c r="L623">
        <v>1687784819</v>
      </c>
      <c r="M623" s="11">
        <f t="shared" si="77"/>
        <v>45103.5465162037</v>
      </c>
      <c r="O623" s="7">
        <f t="shared" si="78"/>
        <v>0</v>
      </c>
      <c r="P623" t="s">
        <v>33</v>
      </c>
      <c r="Q623" s="7" t="str">
        <f t="shared" si="79"/>
        <v>Frequent buyer n</v>
      </c>
    </row>
    <row r="624" spans="1:17">
      <c r="A624">
        <v>1140</v>
      </c>
      <c r="B624" t="s">
        <v>37</v>
      </c>
      <c r="C624" s="9" t="str">
        <f t="shared" si="72"/>
        <v>Akira Tanaka</v>
      </c>
      <c r="D624" s="7" t="str">
        <f t="shared" si="73"/>
        <v>Akira Tanaka</v>
      </c>
      <c r="E624">
        <v>40</v>
      </c>
      <c r="F624" s="7">
        <f t="shared" si="74"/>
        <v>40</v>
      </c>
      <c r="G624" t="s">
        <v>48</v>
      </c>
      <c r="H624" s="7" t="str">
        <f t="shared" si="75"/>
        <v>France</v>
      </c>
      <c r="I624" t="s">
        <v>611</v>
      </c>
      <c r="J624" s="7" t="str">
        <f>TEXT(
  IFERROR(
    DATEVALUE(SUBSTITUTE(SUBSTITUTE(TRIM(I624),"T"," "),"Z","")),
    IFERROR(
      DATE(
        RIGHT(TRIM(I624),4),
        MID(TRIM(I624),4,2),
        LEFT(TRIM(I624),2)
      ),
      DATE(
        VALUE(RIGHT(TRIM(I624),4)),
        MATCH(LEFT(TRIM(I624),FIND(" ",TRIM(I624))-1),
          {"January","February","March","April","May","June","July","August","September","October","November","December"},0),
        VALUE(MID(TRIM(I624),
          FIND(" ",TRIM(I624))+1,
          FIND(" ",TRIM(I624),FIND(" ",TRIM(I624))+1)-FIND(" ",TRIM(I624))-1))
      )
    )
  ),
"yyyy-mm-dd")</f>
        <v>2023-12-30</v>
      </c>
      <c r="K624" s="5" t="str">
        <f t="shared" si="76"/>
        <v>Dec</v>
      </c>
      <c r="L624">
        <v>1681179167</v>
      </c>
      <c r="M624" s="11">
        <f t="shared" si="77"/>
        <v>45027.092210648145</v>
      </c>
      <c r="O624" s="7">
        <f t="shared" si="78"/>
        <v>0</v>
      </c>
      <c r="P624" t="s">
        <v>36</v>
      </c>
      <c r="Q624" s="7" t="str">
        <f t="shared" si="79"/>
        <v>Regular shopper</v>
      </c>
    </row>
    <row r="625" spans="1:17">
      <c r="A625">
        <v>1288</v>
      </c>
      <c r="B625" t="s">
        <v>140</v>
      </c>
      <c r="C625" s="9" t="str">
        <f t="shared" si="72"/>
        <v>Anne Müller</v>
      </c>
      <c r="D625" s="7" t="str">
        <f t="shared" si="73"/>
        <v>Anne Müller</v>
      </c>
      <c r="F625" s="7">
        <f t="shared" si="74"/>
        <v>43</v>
      </c>
      <c r="G625" t="s">
        <v>102</v>
      </c>
      <c r="H625" s="7" t="str">
        <f t="shared" si="75"/>
        <v>Mexico</v>
      </c>
      <c r="I625" t="s">
        <v>612</v>
      </c>
      <c r="J625" s="7" t="str">
        <f>TEXT(
  IFERROR(
    DATEVALUE(SUBSTITUTE(SUBSTITUTE(TRIM(I625),"T"," "),"Z","")),
    IFERROR(
      DATE(
        RIGHT(TRIM(I625),4),
        MID(TRIM(I625),4,2),
        LEFT(TRIM(I625),2)
      ),
      DATE(
        VALUE(RIGHT(TRIM(I625),4)),
        MATCH(LEFT(TRIM(I625),FIND(" ",TRIM(I625))-1),
          {"January","February","March","April","May","June","July","August","September","October","November","December"},0),
        VALUE(MID(TRIM(I625),
          FIND(" ",TRIM(I625))+1,
          FIND(" ",TRIM(I625),FIND(" ",TRIM(I625))+1)-FIND(" ",TRIM(I625))-1))
      )
    )
  ),
"yyyy-mm-dd")</f>
        <v>2023-07-25</v>
      </c>
      <c r="K625" s="5" t="str">
        <f t="shared" si="76"/>
        <v>Jul</v>
      </c>
      <c r="L625">
        <v>1701280180</v>
      </c>
      <c r="M625" s="11">
        <f t="shared" si="77"/>
        <v>45259.74282407407</v>
      </c>
      <c r="N625">
        <v>933.33</v>
      </c>
      <c r="O625" s="7">
        <f t="shared" si="78"/>
        <v>933.33</v>
      </c>
      <c r="P625" t="s">
        <v>36</v>
      </c>
      <c r="Q625" s="7" t="str">
        <f t="shared" si="79"/>
        <v>Regular shopper</v>
      </c>
    </row>
    <row r="626" spans="1:17">
      <c r="A626">
        <v>1752</v>
      </c>
      <c r="B626" t="s">
        <v>80</v>
      </c>
      <c r="C626" s="9" t="str">
        <f t="shared" si="72"/>
        <v>Ahmed Hassan</v>
      </c>
      <c r="D626" s="7" t="str">
        <f t="shared" si="73"/>
        <v>Ahmed Hassan</v>
      </c>
      <c r="E626">
        <v>38</v>
      </c>
      <c r="F626" s="7">
        <f t="shared" si="74"/>
        <v>38</v>
      </c>
      <c r="G626" t="s">
        <v>44</v>
      </c>
      <c r="H626" s="7" t="str">
        <f t="shared" si="75"/>
        <v>UAE</v>
      </c>
      <c r="I626" t="s">
        <v>613</v>
      </c>
      <c r="J626" s="7" t="str">
        <f>TEXT(
  IFERROR(
    DATEVALUE(SUBSTITUTE(SUBSTITUTE(TRIM(I626),"T"," "),"Z","")),
    IFERROR(
      DATE(
        RIGHT(TRIM(I626),4),
        MID(TRIM(I626),4,2),
        LEFT(TRIM(I626),2)
      ),
      DATE(
        VALUE(RIGHT(TRIM(I626),4)),
        MATCH(LEFT(TRIM(I626),FIND(" ",TRIM(I626))-1),
          {"January","February","March","April","May","June","July","August","September","October","November","December"},0),
        VALUE(MID(TRIM(I626),
          FIND(" ",TRIM(I626))+1,
          FIND(" ",TRIM(I626),FIND(" ",TRIM(I626))+1)-FIND(" ",TRIM(I626))-1))
      )
    )
  ),
"yyyy-mm-dd")</f>
        <v>2023-09-17</v>
      </c>
      <c r="K626" s="5" t="str">
        <f t="shared" si="76"/>
        <v>Sep</v>
      </c>
      <c r="L626">
        <v>1681343025</v>
      </c>
      <c r="M626" s="11">
        <f t="shared" si="77"/>
        <v>45028.988715277781</v>
      </c>
      <c r="N626">
        <v>1317.34</v>
      </c>
      <c r="O626" s="7">
        <f t="shared" si="78"/>
        <v>1317.34</v>
      </c>
      <c r="P626" t="s">
        <v>27</v>
      </c>
      <c r="Q626" s="7" t="str">
        <f t="shared" si="79"/>
        <v xml:space="preserve">Holiday signup </v>
      </c>
    </row>
    <row r="627" spans="1:17">
      <c r="A627">
        <v>1117</v>
      </c>
      <c r="B627" t="s">
        <v>88</v>
      </c>
      <c r="C627" s="9" t="str">
        <f t="shared" si="72"/>
        <v>André Santos</v>
      </c>
      <c r="D627" s="7" t="str">
        <f t="shared" si="73"/>
        <v>André Santos</v>
      </c>
      <c r="E627">
        <v>62</v>
      </c>
      <c r="F627" s="7">
        <f t="shared" si="74"/>
        <v>62</v>
      </c>
      <c r="G627" t="s">
        <v>18</v>
      </c>
      <c r="H627" s="7" t="str">
        <f t="shared" si="75"/>
        <v>United Kingdom</v>
      </c>
      <c r="I627" t="s">
        <v>614</v>
      </c>
      <c r="J627" s="7" t="str">
        <f>TEXT(
  IFERROR(
    DATEVALUE(SUBSTITUTE(SUBSTITUTE(TRIM(I627),"T"," "),"Z","")),
    IFERROR(
      DATE(
        RIGHT(TRIM(I627),4),
        MID(TRIM(I627),4,2),
        LEFT(TRIM(I627),2)
      ),
      DATE(
        VALUE(RIGHT(TRIM(I627),4)),
        MATCH(LEFT(TRIM(I627),FIND(" ",TRIM(I627))-1),
          {"January","February","March","April","May","June","July","August","September","October","November","December"},0),
        VALUE(MID(TRIM(I627),
          FIND(" ",TRIM(I627))+1,
          FIND(" ",TRIM(I627),FIND(" ",TRIM(I627))+1)-FIND(" ",TRIM(I627))-1))
      )
    )
  ),
"yyyy-mm-dd")</f>
        <v>2023-02-23</v>
      </c>
      <c r="K627" s="5" t="str">
        <f t="shared" si="76"/>
        <v>Feb</v>
      </c>
      <c r="L627">
        <v>1685134483</v>
      </c>
      <c r="M627" s="11">
        <f t="shared" si="77"/>
        <v>45072.871331018519</v>
      </c>
      <c r="O627" s="7">
        <f t="shared" si="78"/>
        <v>0</v>
      </c>
      <c r="P627" t="s">
        <v>52</v>
      </c>
      <c r="Q627" s="7" t="str">
        <f t="shared" si="79"/>
        <v xml:space="preserve">Prefers email </v>
      </c>
    </row>
    <row r="628" spans="1:17">
      <c r="A628">
        <v>1457</v>
      </c>
      <c r="B628" t="s">
        <v>126</v>
      </c>
      <c r="C628" s="9" t="str">
        <f t="shared" si="72"/>
        <v>Noah Martin</v>
      </c>
      <c r="D628" s="7" t="str">
        <f t="shared" si="73"/>
        <v>Noah Martin</v>
      </c>
      <c r="F628" s="7">
        <f t="shared" si="74"/>
        <v>43</v>
      </c>
      <c r="G628" t="s">
        <v>111</v>
      </c>
      <c r="H628" s="7" t="str">
        <f t="shared" si="75"/>
        <v>South Korea</v>
      </c>
      <c r="I628" t="s">
        <v>615</v>
      </c>
      <c r="J628" s="7" t="str">
        <f>TEXT(
  IFERROR(
    DATEVALUE(SUBSTITUTE(SUBSTITUTE(TRIM(I628),"T"," "),"Z","")),
    IFERROR(
      DATE(
        RIGHT(TRIM(I628),4),
        MID(TRIM(I628),4,2),
        LEFT(TRIM(I628),2)
      ),
      DATE(
        VALUE(RIGHT(TRIM(I628),4)),
        MATCH(LEFT(TRIM(I628),FIND(" ",TRIM(I628))-1),
          {"January","February","March","April","May","June","July","August","September","October","November","December"},0),
        VALUE(MID(TRIM(I628),
          FIND(" ",TRIM(I628))+1,
          FIND(" ",TRIM(I628),FIND(" ",TRIM(I628))+1)-FIND(" ",TRIM(I628))-1))
      )
    )
  ),
"yyyy-mm-dd")</f>
        <v>2023-08-28</v>
      </c>
      <c r="K628" s="5" t="str">
        <f t="shared" si="76"/>
        <v>Aug</v>
      </c>
      <c r="L628">
        <v>1702727233</v>
      </c>
      <c r="M628" s="11">
        <f t="shared" si="77"/>
        <v>45276.491122685184</v>
      </c>
      <c r="N628">
        <v>1229.25</v>
      </c>
      <c r="O628" s="7">
        <f t="shared" si="78"/>
        <v>1229.25</v>
      </c>
      <c r="P628" t="s">
        <v>52</v>
      </c>
      <c r="Q628" s="7" t="str">
        <f t="shared" si="79"/>
        <v xml:space="preserve">Prefers email </v>
      </c>
    </row>
    <row r="629" spans="1:17">
      <c r="A629">
        <v>1727</v>
      </c>
      <c r="B629" t="s">
        <v>24</v>
      </c>
      <c r="C629" s="9" t="str">
        <f t="shared" si="72"/>
        <v>Renée Dupont</v>
      </c>
      <c r="D629" s="7" t="str">
        <f t="shared" si="73"/>
        <v>Renée Dupont</v>
      </c>
      <c r="E629">
        <v>53</v>
      </c>
      <c r="F629" s="7">
        <f t="shared" si="74"/>
        <v>53</v>
      </c>
      <c r="G629" t="s">
        <v>22</v>
      </c>
      <c r="H629" s="7" t="str">
        <f t="shared" si="75"/>
        <v>Germany</v>
      </c>
      <c r="I629" t="s">
        <v>310</v>
      </c>
      <c r="J629" s="7" t="str">
        <f>TEXT(
  IFERROR(
    DATEVALUE(SUBSTITUTE(SUBSTITUTE(TRIM(I629),"T"," "),"Z","")),
    IFERROR(
      DATE(
        RIGHT(TRIM(I629),4),
        MID(TRIM(I629),4,2),
        LEFT(TRIM(I629),2)
      ),
      DATE(
        VALUE(RIGHT(TRIM(I629),4)),
        MATCH(LEFT(TRIM(I629),FIND(" ",TRIM(I629))-1),
          {"January","February","March","April","May","June","July","August","September","October","November","December"},0),
        VALUE(MID(TRIM(I629),
          FIND(" ",TRIM(I629))+1,
          FIND(" ",TRIM(I629),FIND(" ",TRIM(I629))+1)-FIND(" ",TRIM(I629))-1))
      )
    )
  ),
"yyyy-mm-dd")</f>
        <v>2023-02-09</v>
      </c>
      <c r="K629" s="5" t="str">
        <f t="shared" si="76"/>
        <v>Feb</v>
      </c>
      <c r="L629">
        <v>1693210722</v>
      </c>
      <c r="M629" s="11">
        <f t="shared" si="77"/>
        <v>45166.346319444448</v>
      </c>
      <c r="O629" s="7">
        <f t="shared" si="78"/>
        <v>0</v>
      </c>
      <c r="P629" t="s">
        <v>20</v>
      </c>
      <c r="Q629" s="7" t="str">
        <f t="shared" si="79"/>
        <v xml:space="preserve">Great customer </v>
      </c>
    </row>
    <row r="630" spans="1:17">
      <c r="A630">
        <v>1921</v>
      </c>
      <c r="B630" t="s">
        <v>185</v>
      </c>
      <c r="C630" s="9" t="str">
        <f t="shared" si="72"/>
        <v>Liam O’Connor</v>
      </c>
      <c r="D630" s="7" t="str">
        <f t="shared" si="73"/>
        <v>Liam O’Connor</v>
      </c>
      <c r="E630">
        <v>24</v>
      </c>
      <c r="F630" s="7">
        <f t="shared" si="74"/>
        <v>24</v>
      </c>
      <c r="G630" t="s">
        <v>22</v>
      </c>
      <c r="H630" s="7" t="str">
        <f t="shared" si="75"/>
        <v>Germany</v>
      </c>
      <c r="I630" t="s">
        <v>616</v>
      </c>
      <c r="J630" s="7" t="str">
        <f>TEXT(
  IFERROR(
    DATEVALUE(SUBSTITUTE(SUBSTITUTE(TRIM(I630),"T"," "),"Z","")),
    IFERROR(
      DATE(
        RIGHT(TRIM(I630),4),
        MID(TRIM(I630),4,2),
        LEFT(TRIM(I630),2)
      ),
      DATE(
        VALUE(RIGHT(TRIM(I630),4)),
        MATCH(LEFT(TRIM(I630),FIND(" ",TRIM(I630))-1),
          {"January","February","March","April","May","June","July","August","September","October","November","December"},0),
        VALUE(MID(TRIM(I630),
          FIND(" ",TRIM(I630))+1,
          FIND(" ",TRIM(I630),FIND(" ",TRIM(I630))+1)-FIND(" ",TRIM(I630))-1))
      )
    )
  ),
"yyyy-mm-dd")</f>
        <v>2023-08-04</v>
      </c>
      <c r="K630" s="5" t="str">
        <f t="shared" si="76"/>
        <v>Aug</v>
      </c>
      <c r="L630">
        <v>1698508028</v>
      </c>
      <c r="M630" s="11">
        <f t="shared" si="77"/>
        <v>45227.657731481479</v>
      </c>
      <c r="O630" s="7">
        <f t="shared" si="78"/>
        <v>0</v>
      </c>
      <c r="P630" t="s">
        <v>40</v>
      </c>
      <c r="Q630" s="7" t="str">
        <f t="shared" si="79"/>
        <v xml:space="preserve">VIP client </v>
      </c>
    </row>
    <row r="631" spans="1:17">
      <c r="A631">
        <v>1363</v>
      </c>
      <c r="B631" t="s">
        <v>148</v>
      </c>
      <c r="C631" s="9" t="str">
        <f t="shared" si="72"/>
        <v>Chloe Dubois</v>
      </c>
      <c r="D631" s="7" t="str">
        <f t="shared" si="73"/>
        <v>Chloe Dubois</v>
      </c>
      <c r="F631" s="7">
        <f t="shared" si="74"/>
        <v>43</v>
      </c>
      <c r="G631" t="s">
        <v>102</v>
      </c>
      <c r="H631" s="7" t="str">
        <f t="shared" si="75"/>
        <v>Mexico</v>
      </c>
      <c r="I631" t="s">
        <v>167</v>
      </c>
      <c r="J631" s="7" t="str">
        <f>TEXT(
  IFERROR(
    DATEVALUE(SUBSTITUTE(SUBSTITUTE(TRIM(I631),"T"," "),"Z","")),
    IFERROR(
      DATE(
        RIGHT(TRIM(I631),4),
        MID(TRIM(I631),4,2),
        LEFT(TRIM(I631),2)
      ),
      DATE(
        VALUE(RIGHT(TRIM(I631),4)),
        MATCH(LEFT(TRIM(I631),FIND(" ",TRIM(I631))-1),
          {"January","February","March","April","May","June","July","August","September","October","November","December"},0),
        VALUE(MID(TRIM(I631),
          FIND(" ",TRIM(I631))+1,
          FIND(" ",TRIM(I631),FIND(" ",TRIM(I631))+1)-FIND(" ",TRIM(I631))-1))
      )
    )
  ),
"yyyy-mm-dd")</f>
        <v>2023-12-04</v>
      </c>
      <c r="K631" s="5" t="str">
        <f t="shared" si="76"/>
        <v>Dec</v>
      </c>
      <c r="L631">
        <v>1693801108</v>
      </c>
      <c r="M631" s="11">
        <f t="shared" si="77"/>
        <v>45173.179490740746</v>
      </c>
      <c r="N631">
        <v>432.04</v>
      </c>
      <c r="O631" s="7">
        <f t="shared" si="78"/>
        <v>432.04</v>
      </c>
      <c r="P631" t="s">
        <v>52</v>
      </c>
      <c r="Q631" s="7" t="str">
        <f t="shared" si="79"/>
        <v xml:space="preserve">Prefers email </v>
      </c>
    </row>
    <row r="632" spans="1:17">
      <c r="A632">
        <v>1862</v>
      </c>
      <c r="B632" t="s">
        <v>21</v>
      </c>
      <c r="C632" s="9" t="str">
        <f t="shared" si="72"/>
        <v>David Brown</v>
      </c>
      <c r="D632" s="7" t="str">
        <f t="shared" si="73"/>
        <v xml:space="preserve"> David Brown </v>
      </c>
      <c r="F632" s="7">
        <f t="shared" si="74"/>
        <v>43</v>
      </c>
      <c r="G632" t="s">
        <v>18</v>
      </c>
      <c r="H632" s="7" t="str">
        <f t="shared" si="75"/>
        <v>United Kingdom</v>
      </c>
      <c r="I632" t="s">
        <v>617</v>
      </c>
      <c r="J632" s="7" t="str">
        <f>TEXT(
  IFERROR(
    DATEVALUE(SUBSTITUTE(SUBSTITUTE(TRIM(I632),"T"," "),"Z","")),
    IFERROR(
      DATE(
        RIGHT(TRIM(I632),4),
        MID(TRIM(I632),4,2),
        LEFT(TRIM(I632),2)
      ),
      DATE(
        VALUE(RIGHT(TRIM(I632),4)),
        MATCH(LEFT(TRIM(I632),FIND(" ",TRIM(I632))-1),
          {"January","February","March","April","May","June","July","August","September","October","November","December"},0),
        VALUE(MID(TRIM(I632),
          FIND(" ",TRIM(I632))+1,
          FIND(" ",TRIM(I632),FIND(" ",TRIM(I632))+1)-FIND(" ",TRIM(I632))-1))
      )
    )
  ),
"yyyy-mm-dd")</f>
        <v>2023-04-11</v>
      </c>
      <c r="K632" s="5" t="str">
        <f t="shared" si="76"/>
        <v>Apr</v>
      </c>
      <c r="L632">
        <v>1676699532</v>
      </c>
      <c r="M632" s="11">
        <f t="shared" si="77"/>
        <v>44975.244583333333</v>
      </c>
      <c r="O632" s="7">
        <f t="shared" si="78"/>
        <v>0</v>
      </c>
      <c r="P632" t="s">
        <v>118</v>
      </c>
      <c r="Q632" s="7" t="str">
        <f t="shared" si="79"/>
        <v>High engagement</v>
      </c>
    </row>
    <row r="633" spans="1:17">
      <c r="A633">
        <v>1811</v>
      </c>
      <c r="B633" t="s">
        <v>17</v>
      </c>
      <c r="C633" s="9" t="str">
        <f t="shared" si="72"/>
        <v>John Smith</v>
      </c>
      <c r="D633" s="7" t="str">
        <f t="shared" si="73"/>
        <v>John Smith</v>
      </c>
      <c r="F633" s="7">
        <f t="shared" si="74"/>
        <v>43</v>
      </c>
      <c r="G633" t="s">
        <v>54</v>
      </c>
      <c r="H633" s="7" t="str">
        <f t="shared" si="75"/>
        <v>Brazil</v>
      </c>
      <c r="I633" t="s">
        <v>618</v>
      </c>
      <c r="J633" s="7" t="str">
        <f>TEXT(
  IFERROR(
    DATEVALUE(SUBSTITUTE(SUBSTITUTE(TRIM(I633),"T"," "),"Z","")),
    IFERROR(
      DATE(
        RIGHT(TRIM(I633),4),
        MID(TRIM(I633),4,2),
        LEFT(TRIM(I633),2)
      ),
      DATE(
        VALUE(RIGHT(TRIM(I633),4)),
        MATCH(LEFT(TRIM(I633),FIND(" ",TRIM(I633))-1),
          {"January","February","March","April","May","June","July","August","September","October","November","December"},0),
        VALUE(MID(TRIM(I633),
          FIND(" ",TRIM(I633))+1,
          FIND(" ",TRIM(I633),FIND(" ",TRIM(I633))+1)-FIND(" ",TRIM(I633))-1))
      )
    )
  ),
"yyyy-mm-dd")</f>
        <v>2023-04-12</v>
      </c>
      <c r="K633" s="5" t="str">
        <f t="shared" si="76"/>
        <v>Apr</v>
      </c>
      <c r="L633">
        <v>1682838521</v>
      </c>
      <c r="M633" s="11">
        <f t="shared" si="77"/>
        <v>45046.297696759255</v>
      </c>
      <c r="O633" s="7">
        <f t="shared" si="78"/>
        <v>0</v>
      </c>
      <c r="P633" t="s">
        <v>40</v>
      </c>
      <c r="Q633" s="7" t="str">
        <f t="shared" si="79"/>
        <v xml:space="preserve">VIP client </v>
      </c>
    </row>
    <row r="634" spans="1:17">
      <c r="A634">
        <v>1326</v>
      </c>
      <c r="B634" t="s">
        <v>195</v>
      </c>
      <c r="C634" s="9" t="str">
        <f t="shared" si="72"/>
        <v>Lucas Silva</v>
      </c>
      <c r="D634" s="7" t="str">
        <f t="shared" si="73"/>
        <v xml:space="preserve"> Lucas Silva </v>
      </c>
      <c r="F634" s="7">
        <f t="shared" si="74"/>
        <v>43</v>
      </c>
      <c r="G634" t="s">
        <v>29</v>
      </c>
      <c r="H634" s="7" t="str">
        <f t="shared" si="75"/>
        <v>United States</v>
      </c>
      <c r="I634" t="s">
        <v>605</v>
      </c>
      <c r="J634" s="7" t="str">
        <f>TEXT(
  IFERROR(
    DATEVALUE(SUBSTITUTE(SUBSTITUTE(TRIM(I634),"T"," "),"Z","")),
    IFERROR(
      DATE(
        RIGHT(TRIM(I634),4),
        MID(TRIM(I634),4,2),
        LEFT(TRIM(I634),2)
      ),
      DATE(
        VALUE(RIGHT(TRIM(I634),4)),
        MATCH(LEFT(TRIM(I634),FIND(" ",TRIM(I634))-1),
          {"January","February","March","April","May","June","July","August","September","October","November","December"},0),
        VALUE(MID(TRIM(I634),
          FIND(" ",TRIM(I634))+1,
          FIND(" ",TRIM(I634),FIND(" ",TRIM(I634))+1)-FIND(" ",TRIM(I634))-1))
      )
    )
  ),
"yyyy-mm-dd")</f>
        <v>2023-11-18</v>
      </c>
      <c r="K634" s="5" t="str">
        <f t="shared" si="76"/>
        <v>Nov</v>
      </c>
      <c r="L634">
        <v>1677659459</v>
      </c>
      <c r="M634" s="11">
        <f t="shared" si="77"/>
        <v>44986.354849537034</v>
      </c>
      <c r="N634">
        <v>51.45</v>
      </c>
      <c r="O634" s="7">
        <f t="shared" si="78"/>
        <v>51.45</v>
      </c>
      <c r="P634" t="s">
        <v>27</v>
      </c>
      <c r="Q634" s="7" t="str">
        <f t="shared" si="79"/>
        <v xml:space="preserve">Holiday signup </v>
      </c>
    </row>
    <row r="635" spans="1:17">
      <c r="A635">
        <v>1784</v>
      </c>
      <c r="B635" t="s">
        <v>17</v>
      </c>
      <c r="C635" s="9" t="str">
        <f t="shared" si="72"/>
        <v>John Smith</v>
      </c>
      <c r="D635" s="7" t="str">
        <f t="shared" si="73"/>
        <v>John Smith</v>
      </c>
      <c r="E635">
        <v>47</v>
      </c>
      <c r="F635" s="7">
        <f t="shared" si="74"/>
        <v>47</v>
      </c>
      <c r="G635" t="s">
        <v>122</v>
      </c>
      <c r="H635" s="7" t="str">
        <f t="shared" si="75"/>
        <v>Italy</v>
      </c>
      <c r="I635" t="s">
        <v>619</v>
      </c>
      <c r="J635" s="7" t="str">
        <f>TEXT(
  IFERROR(
    DATEVALUE(SUBSTITUTE(SUBSTITUTE(TRIM(I635),"T"," "),"Z","")),
    IFERROR(
      DATE(
        RIGHT(TRIM(I635),4),
        MID(TRIM(I635),4,2),
        LEFT(TRIM(I635),2)
      ),
      DATE(
        VALUE(RIGHT(TRIM(I635),4)),
        MATCH(LEFT(TRIM(I635),FIND(" ",TRIM(I635))-1),
          {"January","February","March","April","May","June","July","August","September","October","November","December"},0),
        VALUE(MID(TRIM(I635),
          FIND(" ",TRIM(I635))+1,
          FIND(" ",TRIM(I635),FIND(" ",TRIM(I635))+1)-FIND(" ",TRIM(I635))-1))
      )
    )
  ),
"yyyy-mm-dd")</f>
        <v>2023-04-06</v>
      </c>
      <c r="K635" s="5" t="str">
        <f t="shared" si="76"/>
        <v>Apr</v>
      </c>
      <c r="L635">
        <v>1694419029</v>
      </c>
      <c r="M635" s="11">
        <f t="shared" si="77"/>
        <v>45180.331354166672</v>
      </c>
      <c r="O635" s="7">
        <f t="shared" si="78"/>
        <v>0</v>
      </c>
      <c r="P635" t="s">
        <v>40</v>
      </c>
      <c r="Q635" s="7" t="str">
        <f t="shared" si="79"/>
        <v xml:space="preserve">VIP client </v>
      </c>
    </row>
    <row r="636" spans="1:17">
      <c r="A636">
        <v>2097</v>
      </c>
      <c r="B636" t="s">
        <v>72</v>
      </c>
      <c r="C636" s="9" t="str">
        <f t="shared" si="72"/>
        <v>Emily Davis</v>
      </c>
      <c r="D636" s="7" t="str">
        <f t="shared" si="73"/>
        <v>Emily Davis</v>
      </c>
      <c r="E636">
        <v>34</v>
      </c>
      <c r="F636" s="7">
        <f t="shared" si="74"/>
        <v>34</v>
      </c>
      <c r="G636" t="s">
        <v>29</v>
      </c>
      <c r="H636" s="7" t="str">
        <f t="shared" si="75"/>
        <v>United States</v>
      </c>
      <c r="I636" t="s">
        <v>265</v>
      </c>
      <c r="J636" s="7" t="str">
        <f>TEXT(
  IFERROR(
    DATEVALUE(SUBSTITUTE(SUBSTITUTE(TRIM(I636),"T"," "),"Z","")),
    IFERROR(
      DATE(
        RIGHT(TRIM(I636),4),
        MID(TRIM(I636),4,2),
        LEFT(TRIM(I636),2)
      ),
      DATE(
        VALUE(RIGHT(TRIM(I636),4)),
        MATCH(LEFT(TRIM(I636),FIND(" ",TRIM(I636))-1),
          {"January","February","March","April","May","June","July","August","September","October","November","December"},0),
        VALUE(MID(TRIM(I636),
          FIND(" ",TRIM(I636))+1,
          FIND(" ",TRIM(I636),FIND(" ",TRIM(I636))+1)-FIND(" ",TRIM(I636))-1))
      )
    )
  ),
"yyyy-mm-dd")</f>
        <v>2023-05-21</v>
      </c>
      <c r="K636" s="5" t="str">
        <f t="shared" si="76"/>
        <v>May</v>
      </c>
      <c r="L636">
        <v>1703896585</v>
      </c>
      <c r="M636" s="11">
        <f t="shared" si="77"/>
        <v>45290.025289351848</v>
      </c>
      <c r="N636">
        <v>224.22</v>
      </c>
      <c r="O636" s="7">
        <f t="shared" si="78"/>
        <v>224.22</v>
      </c>
      <c r="P636" t="s">
        <v>27</v>
      </c>
      <c r="Q636" s="7" t="str">
        <f t="shared" si="79"/>
        <v xml:space="preserve">Holiday signup </v>
      </c>
    </row>
    <row r="637" spans="1:17">
      <c r="A637">
        <v>1924</v>
      </c>
      <c r="B637" t="s">
        <v>120</v>
      </c>
      <c r="C637" s="9" t="str">
        <f t="shared" si="72"/>
        <v>Sarah Johnson</v>
      </c>
      <c r="D637" s="7" t="str">
        <f t="shared" si="73"/>
        <v xml:space="preserve"> Sarah Johnson </v>
      </c>
      <c r="E637">
        <v>29</v>
      </c>
      <c r="F637" s="7">
        <f t="shared" si="74"/>
        <v>29</v>
      </c>
      <c r="G637" t="s">
        <v>29</v>
      </c>
      <c r="H637" s="7" t="str">
        <f t="shared" si="75"/>
        <v>United States</v>
      </c>
      <c r="I637" t="s">
        <v>620</v>
      </c>
      <c r="J637" s="7" t="str">
        <f>TEXT(
  IFERROR(
    DATEVALUE(SUBSTITUTE(SUBSTITUTE(TRIM(I637),"T"," "),"Z","")),
    IFERROR(
      DATE(
        RIGHT(TRIM(I637),4),
        MID(TRIM(I637),4,2),
        LEFT(TRIM(I637),2)
      ),
      DATE(
        VALUE(RIGHT(TRIM(I637),4)),
        MATCH(LEFT(TRIM(I637),FIND(" ",TRIM(I637))-1),
          {"January","February","March","April","May","June","July","August","September","October","November","December"},0),
        VALUE(MID(TRIM(I637),
          FIND(" ",TRIM(I637))+1,
          FIND(" ",TRIM(I637),FIND(" ",TRIM(I637))+1)-FIND(" ",TRIM(I637))-1))
      )
    )
  ),
"yyyy-mm-dd")</f>
        <v>2023-02-03</v>
      </c>
      <c r="K637" s="5" t="str">
        <f t="shared" si="76"/>
        <v>Feb</v>
      </c>
      <c r="L637">
        <v>1684160130</v>
      </c>
      <c r="M637" s="11">
        <f t="shared" si="77"/>
        <v>45061.594097222223</v>
      </c>
      <c r="N637">
        <v>731.03</v>
      </c>
      <c r="O637" s="7">
        <f t="shared" si="78"/>
        <v>731.03</v>
      </c>
      <c r="P637" t="s">
        <v>33</v>
      </c>
      <c r="Q637" s="7" t="str">
        <f t="shared" si="79"/>
        <v>Frequent buyer n</v>
      </c>
    </row>
    <row r="638" spans="1:17">
      <c r="A638">
        <v>1748</v>
      </c>
      <c r="B638" t="s">
        <v>140</v>
      </c>
      <c r="C638" s="9" t="str">
        <f t="shared" si="72"/>
        <v>Anne Müller</v>
      </c>
      <c r="D638" s="7" t="str">
        <f t="shared" si="73"/>
        <v>Anne Müller</v>
      </c>
      <c r="E638">
        <v>19</v>
      </c>
      <c r="F638" s="7">
        <f t="shared" si="74"/>
        <v>19</v>
      </c>
      <c r="G638" t="s">
        <v>38</v>
      </c>
      <c r="H638" s="7" t="str">
        <f t="shared" si="75"/>
        <v>Spain</v>
      </c>
      <c r="I638" t="s">
        <v>621</v>
      </c>
      <c r="J638" s="7" t="str">
        <f>TEXT(
  IFERROR(
    DATEVALUE(SUBSTITUTE(SUBSTITUTE(TRIM(I638),"T"," "),"Z","")),
    IFERROR(
      DATE(
        RIGHT(TRIM(I638),4),
        MID(TRIM(I638),4,2),
        LEFT(TRIM(I638),2)
      ),
      DATE(
        VALUE(RIGHT(TRIM(I638),4)),
        MATCH(LEFT(TRIM(I638),FIND(" ",TRIM(I638))-1),
          {"January","February","March","April","May","June","July","August","September","October","November","December"},0),
        VALUE(MID(TRIM(I638),
          FIND(" ",TRIM(I638))+1,
          FIND(" ",TRIM(I638),FIND(" ",TRIM(I638))+1)-FIND(" ",TRIM(I638))-1))
      )
    )
  ),
"yyyy-mm-dd")</f>
        <v>2023-02-12</v>
      </c>
      <c r="K638" s="5" t="str">
        <f t="shared" si="76"/>
        <v>Feb</v>
      </c>
      <c r="L638">
        <v>1681502848</v>
      </c>
      <c r="M638" s="11">
        <f t="shared" si="77"/>
        <v>45030.838518518518</v>
      </c>
      <c r="N638">
        <v>417.76</v>
      </c>
      <c r="O638" s="7">
        <f t="shared" si="78"/>
        <v>417.76</v>
      </c>
      <c r="P638" t="s">
        <v>52</v>
      </c>
      <c r="Q638" s="7" t="str">
        <f t="shared" si="79"/>
        <v xml:space="preserve">Prefers email </v>
      </c>
    </row>
    <row r="639" spans="1:17">
      <c r="A639">
        <v>1406</v>
      </c>
      <c r="B639" t="s">
        <v>101</v>
      </c>
      <c r="C639" s="9" t="str">
        <f t="shared" si="72"/>
        <v>Zoë Kravitz</v>
      </c>
      <c r="D639" s="7" t="str">
        <f t="shared" si="73"/>
        <v>Zoë Kravitz</v>
      </c>
      <c r="F639" s="7">
        <f t="shared" si="74"/>
        <v>43</v>
      </c>
      <c r="G639" t="s">
        <v>18</v>
      </c>
      <c r="H639" s="7" t="str">
        <f t="shared" si="75"/>
        <v>United Kingdom</v>
      </c>
      <c r="I639" t="s">
        <v>622</v>
      </c>
      <c r="J639" s="7" t="str">
        <f>TEXT(
  IFERROR(
    DATEVALUE(SUBSTITUTE(SUBSTITUTE(TRIM(I639),"T"," "),"Z","")),
    IFERROR(
      DATE(
        RIGHT(TRIM(I639),4),
        MID(TRIM(I639),4,2),
        LEFT(TRIM(I639),2)
      ),
      DATE(
        VALUE(RIGHT(TRIM(I639),4)),
        MATCH(LEFT(TRIM(I639),FIND(" ",TRIM(I639))-1),
          {"January","February","March","April","May","June","July","August","September","October","November","December"},0),
        VALUE(MID(TRIM(I639),
          FIND(" ",TRIM(I639))+1,
          FIND(" ",TRIM(I639),FIND(" ",TRIM(I639))+1)-FIND(" ",TRIM(I639))-1))
      )
    )
  ),
"yyyy-mm-dd")</f>
        <v>2023-10-26</v>
      </c>
      <c r="K639" s="5" t="str">
        <f t="shared" si="76"/>
        <v>Oct</v>
      </c>
      <c r="L639">
        <v>1682979062</v>
      </c>
      <c r="M639" s="11">
        <f t="shared" si="77"/>
        <v>45047.924328703702</v>
      </c>
      <c r="N639">
        <v>256.82</v>
      </c>
      <c r="O639" s="7">
        <f t="shared" si="78"/>
        <v>256.82</v>
      </c>
      <c r="P639" t="s">
        <v>36</v>
      </c>
      <c r="Q639" s="7" t="str">
        <f t="shared" si="79"/>
        <v>Regular shopper</v>
      </c>
    </row>
    <row r="640" spans="1:17">
      <c r="A640">
        <v>1132</v>
      </c>
      <c r="B640" t="s">
        <v>64</v>
      </c>
      <c r="C640" s="9" t="str">
        <f t="shared" si="72"/>
        <v>Ethan Clark</v>
      </c>
      <c r="D640" s="7" t="str">
        <f t="shared" si="73"/>
        <v xml:space="preserve"> Ethan Clark </v>
      </c>
      <c r="F640" s="7">
        <f t="shared" si="74"/>
        <v>43</v>
      </c>
      <c r="G640" t="s">
        <v>44</v>
      </c>
      <c r="H640" s="7" t="str">
        <f t="shared" si="75"/>
        <v>UAE</v>
      </c>
      <c r="I640" t="s">
        <v>623</v>
      </c>
      <c r="J640" s="7" t="str">
        <f>TEXT(
  IFERROR(
    DATEVALUE(SUBSTITUTE(SUBSTITUTE(TRIM(I640),"T"," "),"Z","")),
    IFERROR(
      DATE(
        RIGHT(TRIM(I640),4),
        MID(TRIM(I640),4,2),
        LEFT(TRIM(I640),2)
      ),
      DATE(
        VALUE(RIGHT(TRIM(I640),4)),
        MATCH(LEFT(TRIM(I640),FIND(" ",TRIM(I640))-1),
          {"January","February","March","April","May","June","July","August","September","October","November","December"},0),
        VALUE(MID(TRIM(I640),
          FIND(" ",TRIM(I640))+1,
          FIND(" ",TRIM(I640),FIND(" ",TRIM(I640))+1)-FIND(" ",TRIM(I640))-1))
      )
    )
  ),
"yyyy-mm-dd")</f>
        <v>2023-05-31</v>
      </c>
      <c r="K640" s="5" t="str">
        <f t="shared" si="76"/>
        <v>May</v>
      </c>
      <c r="L640">
        <v>1700262993</v>
      </c>
      <c r="M640" s="11">
        <f t="shared" si="77"/>
        <v>45247.969826388886</v>
      </c>
      <c r="O640" s="7">
        <f t="shared" si="78"/>
        <v>0</v>
      </c>
      <c r="P640" t="s">
        <v>118</v>
      </c>
      <c r="Q640" s="7" t="str">
        <f t="shared" si="79"/>
        <v>High engagement</v>
      </c>
    </row>
    <row r="641" spans="1:17">
      <c r="A641">
        <v>1062</v>
      </c>
      <c r="B641" t="s">
        <v>224</v>
      </c>
      <c r="C641" s="9" t="str">
        <f t="shared" si="72"/>
        <v>Anne Müller</v>
      </c>
      <c r="D641" s="7" t="str">
        <f t="shared" si="73"/>
        <v xml:space="preserve"> Anne Müller </v>
      </c>
      <c r="E641">
        <v>38</v>
      </c>
      <c r="F641" s="7">
        <f t="shared" si="74"/>
        <v>38</v>
      </c>
      <c r="G641" t="s">
        <v>122</v>
      </c>
      <c r="H641" s="7" t="str">
        <f t="shared" si="75"/>
        <v>Italy</v>
      </c>
      <c r="I641" t="s">
        <v>263</v>
      </c>
      <c r="J641" s="7" t="str">
        <f>TEXT(
  IFERROR(
    DATEVALUE(SUBSTITUTE(SUBSTITUTE(TRIM(I641),"T"," "),"Z","")),
    IFERROR(
      DATE(
        RIGHT(TRIM(I641),4),
        MID(TRIM(I641),4,2),
        LEFT(TRIM(I641),2)
      ),
      DATE(
        VALUE(RIGHT(TRIM(I641),4)),
        MATCH(LEFT(TRIM(I641),FIND(" ",TRIM(I641))-1),
          {"January","February","March","April","May","June","July","August","September","October","November","December"},0),
        VALUE(MID(TRIM(I641),
          FIND(" ",TRIM(I641))+1,
          FIND(" ",TRIM(I641),FIND(" ",TRIM(I641))+1)-FIND(" ",TRIM(I641))-1))
      )
    )
  ),
"yyyy-mm-dd")</f>
        <v>2023-05-06</v>
      </c>
      <c r="K641" s="5" t="str">
        <f t="shared" si="76"/>
        <v>May</v>
      </c>
      <c r="L641">
        <v>1679744382</v>
      </c>
      <c r="M641" s="11">
        <f t="shared" si="77"/>
        <v>45010.485902777778</v>
      </c>
      <c r="O641" s="7">
        <f t="shared" si="78"/>
        <v>0</v>
      </c>
      <c r="P641" t="s">
        <v>33</v>
      </c>
      <c r="Q641" s="7" t="str">
        <f t="shared" si="79"/>
        <v>Frequent buyer n</v>
      </c>
    </row>
    <row r="642" spans="1:17">
      <c r="A642">
        <v>1644</v>
      </c>
      <c r="B642" t="s">
        <v>224</v>
      </c>
      <c r="C642" s="9" t="str">
        <f t="shared" si="72"/>
        <v>Anne Müller</v>
      </c>
      <c r="D642" s="7" t="str">
        <f t="shared" si="73"/>
        <v xml:space="preserve"> Anne Müller </v>
      </c>
      <c r="E642">
        <v>18</v>
      </c>
      <c r="F642" s="7">
        <f t="shared" si="74"/>
        <v>18</v>
      </c>
      <c r="G642" t="s">
        <v>25</v>
      </c>
      <c r="H642" s="7" t="str">
        <f t="shared" si="75"/>
        <v>Japan</v>
      </c>
      <c r="I642" t="s">
        <v>624</v>
      </c>
      <c r="J642" s="7" t="str">
        <f>TEXT(
  IFERROR(
    DATEVALUE(SUBSTITUTE(SUBSTITUTE(TRIM(I642),"T"," "),"Z","")),
    IFERROR(
      DATE(
        RIGHT(TRIM(I642),4),
        MID(TRIM(I642),4,2),
        LEFT(TRIM(I642),2)
      ),
      DATE(
        VALUE(RIGHT(TRIM(I642),4)),
        MATCH(LEFT(TRIM(I642),FIND(" ",TRIM(I642))-1),
          {"January","February","March","April","May","June","July","August","September","October","November","December"},0),
        VALUE(MID(TRIM(I642),
          FIND(" ",TRIM(I642))+1,
          FIND(" ",TRIM(I642),FIND(" ",TRIM(I642))+1)-FIND(" ",TRIM(I642))-1))
      )
    )
  ),
"yyyy-mm-dd")</f>
        <v>2023-04-20</v>
      </c>
      <c r="K642" s="5" t="str">
        <f t="shared" si="76"/>
        <v>Apr</v>
      </c>
      <c r="L642">
        <v>1691565108</v>
      </c>
      <c r="M642" s="11">
        <f t="shared" si="77"/>
        <v>45147.299861111111</v>
      </c>
      <c r="N642">
        <v>1194.9100000000001</v>
      </c>
      <c r="O642" s="7">
        <f t="shared" si="78"/>
        <v>1194.9100000000001</v>
      </c>
      <c r="P642" t="s">
        <v>46</v>
      </c>
      <c r="Q642" s="7" t="str">
        <f t="shared" si="79"/>
        <v>Corporate account</v>
      </c>
    </row>
    <row r="643" spans="1:17">
      <c r="A643">
        <v>1245</v>
      </c>
      <c r="B643" t="s">
        <v>140</v>
      </c>
      <c r="C643" s="9" t="str">
        <f t="shared" ref="C643:C706" si="80">TRIM(B643)</f>
        <v>Anne Müller</v>
      </c>
      <c r="D643" s="7" t="str">
        <f t="shared" ref="D643:D706" si="81">PROPER(B643)</f>
        <v>Anne Müller</v>
      </c>
      <c r="E643">
        <v>38</v>
      </c>
      <c r="F643" s="7">
        <f t="shared" ref="F643:F706" si="82">IF(OR(E643="", ISBLANK(E643)), MEDIAN($E$2:$E$1501), E643)</f>
        <v>38</v>
      </c>
      <c r="G643" t="s">
        <v>116</v>
      </c>
      <c r="H643" s="7" t="str">
        <f t="shared" ref="H643:H706" si="83">TRIM(G643)</f>
        <v>China</v>
      </c>
      <c r="I643" t="s">
        <v>625</v>
      </c>
      <c r="J643" s="7" t="str">
        <f>TEXT(
  IFERROR(
    DATEVALUE(SUBSTITUTE(SUBSTITUTE(TRIM(I643),"T"," "),"Z","")),
    IFERROR(
      DATE(
        RIGHT(TRIM(I643),4),
        MID(TRIM(I643),4,2),
        LEFT(TRIM(I643),2)
      ),
      DATE(
        VALUE(RIGHT(TRIM(I643),4)),
        MATCH(LEFT(TRIM(I643),FIND(" ",TRIM(I643))-1),
          {"January","February","March","April","May","June","July","August","September","October","November","December"},0),
        VALUE(MID(TRIM(I643),
          FIND(" ",TRIM(I643))+1,
          FIND(" ",TRIM(I643),FIND(" ",TRIM(I643))+1)-FIND(" ",TRIM(I643))-1))
      )
    )
  ),
"yyyy-mm-dd")</f>
        <v>2023-05-02</v>
      </c>
      <c r="K643" s="5" t="str">
        <f t="shared" ref="K643:K706" si="84">TEXT(J643,"mmm")</f>
        <v>May</v>
      </c>
      <c r="L643">
        <v>1673237659</v>
      </c>
      <c r="M643" s="11">
        <f t="shared" ref="M643:M706" si="85">((L643)/86400)+DATE(1970,1,1)</f>
        <v>44935.176608796297</v>
      </c>
      <c r="N643">
        <v>434.71</v>
      </c>
      <c r="O643" s="7">
        <f t="shared" ref="O643:O706" si="86">IF(N643="", 0, N643)</f>
        <v>434.71</v>
      </c>
      <c r="P643" t="s">
        <v>36</v>
      </c>
      <c r="Q643" s="7" t="str">
        <f t="shared" ref="Q643:Q706" si="87">SUBSTITUTE(SUBSTITUTE(SUBSTITUTE(P643,"$",""),"%",""),"ñ","n")</f>
        <v>Regular shopper</v>
      </c>
    </row>
    <row r="644" spans="1:17">
      <c r="A644">
        <v>1583</v>
      </c>
      <c r="B644" t="s">
        <v>56</v>
      </c>
      <c r="C644" s="9" t="str">
        <f t="shared" si="80"/>
        <v>Carlos García</v>
      </c>
      <c r="D644" s="7" t="str">
        <f t="shared" si="81"/>
        <v>Carlos García</v>
      </c>
      <c r="E644">
        <v>20</v>
      </c>
      <c r="F644" s="7">
        <f t="shared" si="82"/>
        <v>20</v>
      </c>
      <c r="G644" t="s">
        <v>67</v>
      </c>
      <c r="H644" s="7" t="str">
        <f t="shared" si="83"/>
        <v>Sweden</v>
      </c>
      <c r="I644" t="s">
        <v>626</v>
      </c>
      <c r="J644" s="7" t="str">
        <f>TEXT(
  IFERROR(
    DATEVALUE(SUBSTITUTE(SUBSTITUTE(TRIM(I644),"T"," "),"Z","")),
    IFERROR(
      DATE(
        RIGHT(TRIM(I644),4),
        MID(TRIM(I644),4,2),
        LEFT(TRIM(I644),2)
      ),
      DATE(
        VALUE(RIGHT(TRIM(I644),4)),
        MATCH(LEFT(TRIM(I644),FIND(" ",TRIM(I644))-1),
          {"January","February","March","April","May","June","July","August","September","October","November","December"},0),
        VALUE(MID(TRIM(I644),
          FIND(" ",TRIM(I644))+1,
          FIND(" ",TRIM(I644),FIND(" ",TRIM(I644))+1)-FIND(" ",TRIM(I644))-1))
      )
    )
  ),
"yyyy-mm-dd")</f>
        <v>2023-01-21</v>
      </c>
      <c r="K644" s="5" t="str">
        <f t="shared" si="84"/>
        <v>Jan</v>
      </c>
      <c r="L644">
        <v>1694159081</v>
      </c>
      <c r="M644" s="11">
        <f t="shared" si="85"/>
        <v>45177.322696759264</v>
      </c>
      <c r="O644" s="7">
        <f t="shared" si="86"/>
        <v>0</v>
      </c>
      <c r="P644" t="s">
        <v>52</v>
      </c>
      <c r="Q644" s="7" t="str">
        <f t="shared" si="87"/>
        <v xml:space="preserve">Prefers email </v>
      </c>
    </row>
    <row r="645" spans="1:17">
      <c r="A645">
        <v>1851</v>
      </c>
      <c r="B645" t="s">
        <v>88</v>
      </c>
      <c r="C645" s="9" t="str">
        <f t="shared" si="80"/>
        <v>André Santos</v>
      </c>
      <c r="D645" s="7" t="str">
        <f t="shared" si="81"/>
        <v>André Santos</v>
      </c>
      <c r="F645" s="7">
        <f t="shared" si="82"/>
        <v>43</v>
      </c>
      <c r="G645" t="s">
        <v>29</v>
      </c>
      <c r="H645" s="7" t="str">
        <f t="shared" si="83"/>
        <v>United States</v>
      </c>
      <c r="I645" t="s">
        <v>627</v>
      </c>
      <c r="J645" s="7" t="str">
        <f>TEXT(
  IFERROR(
    DATEVALUE(SUBSTITUTE(SUBSTITUTE(TRIM(I645),"T"," "),"Z","")),
    IFERROR(
      DATE(
        RIGHT(TRIM(I645),4),
        MID(TRIM(I645),4,2),
        LEFT(TRIM(I645),2)
      ),
      DATE(
        VALUE(RIGHT(TRIM(I645),4)),
        MATCH(LEFT(TRIM(I645),FIND(" ",TRIM(I645))-1),
          {"January","February","March","April","May","June","July","August","September","October","November","December"},0),
        VALUE(MID(TRIM(I645),
          FIND(" ",TRIM(I645))+1,
          FIND(" ",TRIM(I645),FIND(" ",TRIM(I645))+1)-FIND(" ",TRIM(I645))-1))
      )
    )
  ),
"yyyy-mm-dd")</f>
        <v>2023-12-10</v>
      </c>
      <c r="K645" s="5" t="str">
        <f t="shared" si="84"/>
        <v>Dec</v>
      </c>
      <c r="L645">
        <v>1689093802</v>
      </c>
      <c r="M645" s="11">
        <f t="shared" si="85"/>
        <v>45118.696782407409</v>
      </c>
      <c r="O645" s="7">
        <f t="shared" si="86"/>
        <v>0</v>
      </c>
      <c r="P645" t="s">
        <v>58</v>
      </c>
      <c r="Q645" s="7" t="str">
        <f t="shared" si="87"/>
        <v>Student account</v>
      </c>
    </row>
    <row r="646" spans="1:17">
      <c r="A646">
        <v>1979</v>
      </c>
      <c r="B646" t="s">
        <v>101</v>
      </c>
      <c r="C646" s="9" t="str">
        <f t="shared" si="80"/>
        <v>Zoë Kravitz</v>
      </c>
      <c r="D646" s="7" t="str">
        <f t="shared" si="81"/>
        <v>Zoë Kravitz</v>
      </c>
      <c r="E646">
        <v>38</v>
      </c>
      <c r="F646" s="7">
        <f t="shared" si="82"/>
        <v>38</v>
      </c>
      <c r="G646" t="s">
        <v>60</v>
      </c>
      <c r="H646" s="7" t="str">
        <f t="shared" si="83"/>
        <v>Egypt</v>
      </c>
      <c r="I646" t="s">
        <v>628</v>
      </c>
      <c r="J646" s="7" t="str">
        <f>TEXT(
  IFERROR(
    DATEVALUE(SUBSTITUTE(SUBSTITUTE(TRIM(I646),"T"," "),"Z","")),
    IFERROR(
      DATE(
        RIGHT(TRIM(I646),4),
        MID(TRIM(I646),4,2),
        LEFT(TRIM(I646),2)
      ),
      DATE(
        VALUE(RIGHT(TRIM(I646),4)),
        MATCH(LEFT(TRIM(I646),FIND(" ",TRIM(I646))-1),
          {"January","February","March","April","May","June","July","August","September","October","November","December"},0),
        VALUE(MID(TRIM(I646),
          FIND(" ",TRIM(I646))+1,
          FIND(" ",TRIM(I646),FIND(" ",TRIM(I646))+1)-FIND(" ",TRIM(I646))-1))
      )
    )
  ),
"yyyy-mm-dd")</f>
        <v>2023-04-26</v>
      </c>
      <c r="K646" s="5" t="str">
        <f t="shared" si="84"/>
        <v>Apr</v>
      </c>
      <c r="L646">
        <v>1681376062</v>
      </c>
      <c r="M646" s="11">
        <f t="shared" si="85"/>
        <v>45029.371087962965</v>
      </c>
      <c r="N646">
        <v>1151.6400000000001</v>
      </c>
      <c r="O646" s="7">
        <f t="shared" si="86"/>
        <v>1151.6400000000001</v>
      </c>
      <c r="P646" t="s">
        <v>84</v>
      </c>
      <c r="Q646" s="7" t="str">
        <f t="shared" si="87"/>
        <v xml:space="preserve">Newsletter subscriber </v>
      </c>
    </row>
    <row r="647" spans="1:17">
      <c r="A647">
        <v>1884</v>
      </c>
      <c r="B647" t="s">
        <v>21</v>
      </c>
      <c r="C647" s="9" t="str">
        <f t="shared" si="80"/>
        <v>David Brown</v>
      </c>
      <c r="D647" s="7" t="str">
        <f t="shared" si="81"/>
        <v xml:space="preserve"> David Brown </v>
      </c>
      <c r="E647">
        <v>45</v>
      </c>
      <c r="F647" s="7">
        <f t="shared" si="82"/>
        <v>45</v>
      </c>
      <c r="G647" t="s">
        <v>25</v>
      </c>
      <c r="H647" s="7" t="str">
        <f t="shared" si="83"/>
        <v>Japan</v>
      </c>
      <c r="I647" t="s">
        <v>629</v>
      </c>
      <c r="J647" s="7" t="str">
        <f>TEXT(
  IFERROR(
    DATEVALUE(SUBSTITUTE(SUBSTITUTE(TRIM(I647),"T"," "),"Z","")),
    IFERROR(
      DATE(
        RIGHT(TRIM(I647),4),
        MID(TRIM(I647),4,2),
        LEFT(TRIM(I647),2)
      ),
      DATE(
        VALUE(RIGHT(TRIM(I647),4)),
        MATCH(LEFT(TRIM(I647),FIND(" ",TRIM(I647))-1),
          {"January","February","March","April","May","June","July","August","September","October","November","December"},0),
        VALUE(MID(TRIM(I647),
          FIND(" ",TRIM(I647))+1,
          FIND(" ",TRIM(I647),FIND(" ",TRIM(I647))+1)-FIND(" ",TRIM(I647))-1))
      )
    )
  ),
"yyyy-mm-dd")</f>
        <v>2023-01-28</v>
      </c>
      <c r="K647" s="5" t="str">
        <f t="shared" si="84"/>
        <v>Jan</v>
      </c>
      <c r="L647">
        <v>1681670564</v>
      </c>
      <c r="M647" s="11">
        <f t="shared" si="85"/>
        <v>45032.779675925922</v>
      </c>
      <c r="N647">
        <v>560.97</v>
      </c>
      <c r="O647" s="7">
        <f t="shared" si="86"/>
        <v>560.97</v>
      </c>
      <c r="P647" t="s">
        <v>118</v>
      </c>
      <c r="Q647" s="7" t="str">
        <f t="shared" si="87"/>
        <v>High engagement</v>
      </c>
    </row>
    <row r="648" spans="1:17">
      <c r="A648">
        <v>1510</v>
      </c>
      <c r="B648" t="s">
        <v>224</v>
      </c>
      <c r="C648" s="9" t="str">
        <f t="shared" si="80"/>
        <v>Anne Müller</v>
      </c>
      <c r="D648" s="7" t="str">
        <f t="shared" si="81"/>
        <v xml:space="preserve"> Anne Müller </v>
      </c>
      <c r="E648">
        <v>20</v>
      </c>
      <c r="F648" s="7">
        <f t="shared" si="82"/>
        <v>20</v>
      </c>
      <c r="G648" t="s">
        <v>54</v>
      </c>
      <c r="H648" s="7" t="str">
        <f t="shared" si="83"/>
        <v>Brazil</v>
      </c>
      <c r="I648" t="s">
        <v>630</v>
      </c>
      <c r="J648" s="7" t="str">
        <f>TEXT(
  IFERROR(
    DATEVALUE(SUBSTITUTE(SUBSTITUTE(TRIM(I648),"T"," "),"Z","")),
    IFERROR(
      DATE(
        RIGHT(TRIM(I648),4),
        MID(TRIM(I648),4,2),
        LEFT(TRIM(I648),2)
      ),
      DATE(
        VALUE(RIGHT(TRIM(I648),4)),
        MATCH(LEFT(TRIM(I648),FIND(" ",TRIM(I648))-1),
          {"January","February","March","April","May","June","July","August","September","October","November","December"},0),
        VALUE(MID(TRIM(I648),
          FIND(" ",TRIM(I648))+1,
          FIND(" ",TRIM(I648),FIND(" ",TRIM(I648))+1)-FIND(" ",TRIM(I648))-1))
      )
    )
  ),
"yyyy-mm-dd")</f>
        <v>2023-05-03</v>
      </c>
      <c r="K648" s="5" t="str">
        <f t="shared" si="84"/>
        <v>May</v>
      </c>
      <c r="L648">
        <v>1690379377</v>
      </c>
      <c r="M648" s="11">
        <f t="shared" si="85"/>
        <v>45133.57612268519</v>
      </c>
      <c r="N648">
        <v>160.54</v>
      </c>
      <c r="O648" s="7">
        <f t="shared" si="86"/>
        <v>160.54</v>
      </c>
      <c r="P648" t="s">
        <v>27</v>
      </c>
      <c r="Q648" s="7" t="str">
        <f t="shared" si="87"/>
        <v xml:space="preserve">Holiday signup </v>
      </c>
    </row>
    <row r="649" spans="1:17">
      <c r="A649">
        <v>1384</v>
      </c>
      <c r="B649" t="s">
        <v>41</v>
      </c>
      <c r="C649" s="9" t="str">
        <f t="shared" si="80"/>
        <v>Lucas Silva</v>
      </c>
      <c r="D649" s="7" t="str">
        <f t="shared" si="81"/>
        <v>Lucas Silva</v>
      </c>
      <c r="E649">
        <v>18</v>
      </c>
      <c r="F649" s="7">
        <f t="shared" si="82"/>
        <v>18</v>
      </c>
      <c r="G649" t="s">
        <v>60</v>
      </c>
      <c r="H649" s="7" t="str">
        <f t="shared" si="83"/>
        <v>Egypt</v>
      </c>
      <c r="I649" t="s">
        <v>631</v>
      </c>
      <c r="J649" s="7" t="str">
        <f>TEXT(
  IFERROR(
    DATEVALUE(SUBSTITUTE(SUBSTITUTE(TRIM(I649),"T"," "),"Z","")),
    IFERROR(
      DATE(
        RIGHT(TRIM(I649),4),
        MID(TRIM(I649),4,2),
        LEFT(TRIM(I649),2)
      ),
      DATE(
        VALUE(RIGHT(TRIM(I649),4)),
        MATCH(LEFT(TRIM(I649),FIND(" ",TRIM(I649))-1),
          {"January","February","March","April","May","June","July","August","September","October","November","December"},0),
        VALUE(MID(TRIM(I649),
          FIND(" ",TRIM(I649))+1,
          FIND(" ",TRIM(I649),FIND(" ",TRIM(I649))+1)-FIND(" ",TRIM(I649))-1))
      )
    )
  ),
"yyyy-mm-dd")</f>
        <v>2023-08-08</v>
      </c>
      <c r="K649" s="5" t="str">
        <f t="shared" si="84"/>
        <v>Aug</v>
      </c>
      <c r="L649">
        <v>1673222833</v>
      </c>
      <c r="M649" s="11">
        <f t="shared" si="85"/>
        <v>44935.005011574074</v>
      </c>
      <c r="O649" s="7">
        <f t="shared" si="86"/>
        <v>0</v>
      </c>
      <c r="P649" t="s">
        <v>52</v>
      </c>
      <c r="Q649" s="7" t="str">
        <f t="shared" si="87"/>
        <v xml:space="preserve">Prefers email </v>
      </c>
    </row>
    <row r="650" spans="1:17">
      <c r="A650">
        <v>1093</v>
      </c>
      <c r="B650" t="s">
        <v>17</v>
      </c>
      <c r="C650" s="9" t="str">
        <f t="shared" si="80"/>
        <v>John Smith</v>
      </c>
      <c r="D650" s="7" t="str">
        <f t="shared" si="81"/>
        <v>John Smith</v>
      </c>
      <c r="E650">
        <v>32</v>
      </c>
      <c r="F650" s="7">
        <f t="shared" si="82"/>
        <v>32</v>
      </c>
      <c r="G650" t="s">
        <v>67</v>
      </c>
      <c r="H650" s="7" t="str">
        <f t="shared" si="83"/>
        <v>Sweden</v>
      </c>
      <c r="I650" t="s">
        <v>632</v>
      </c>
      <c r="J650" s="7" t="str">
        <f>TEXT(
  IFERROR(
    DATEVALUE(SUBSTITUTE(SUBSTITUTE(TRIM(I650),"T"," "),"Z","")),
    IFERROR(
      DATE(
        RIGHT(TRIM(I650),4),
        MID(TRIM(I650),4,2),
        LEFT(TRIM(I650),2)
      ),
      DATE(
        VALUE(RIGHT(TRIM(I650),4)),
        MATCH(LEFT(TRIM(I650),FIND(" ",TRIM(I650))-1),
          {"January","February","March","April","May","June","July","August","September","October","November","December"},0),
        VALUE(MID(TRIM(I650),
          FIND(" ",TRIM(I650))+1,
          FIND(" ",TRIM(I650),FIND(" ",TRIM(I650))+1)-FIND(" ",TRIM(I650))-1))
      )
    )
  ),
"yyyy-mm-dd")</f>
        <v>2023-03-27</v>
      </c>
      <c r="K650" s="5" t="str">
        <f t="shared" si="84"/>
        <v>Mar</v>
      </c>
      <c r="L650">
        <v>1698537293</v>
      </c>
      <c r="M650" s="11">
        <f t="shared" si="85"/>
        <v>45227.996446759258</v>
      </c>
      <c r="O650" s="7">
        <f t="shared" si="86"/>
        <v>0</v>
      </c>
      <c r="P650" t="s">
        <v>84</v>
      </c>
      <c r="Q650" s="7" t="str">
        <f t="shared" si="87"/>
        <v xml:space="preserve">Newsletter subscriber </v>
      </c>
    </row>
    <row r="651" spans="1:17">
      <c r="A651">
        <v>1774</v>
      </c>
      <c r="B651" t="s">
        <v>114</v>
      </c>
      <c r="C651" s="9" t="str">
        <f t="shared" si="80"/>
        <v>Liam O’Connor</v>
      </c>
      <c r="D651" s="7" t="str">
        <f t="shared" si="81"/>
        <v xml:space="preserve"> Liam O’Connor </v>
      </c>
      <c r="E651">
        <v>58</v>
      </c>
      <c r="F651" s="7">
        <f t="shared" si="82"/>
        <v>58</v>
      </c>
      <c r="G651" t="s">
        <v>62</v>
      </c>
      <c r="H651" s="7" t="str">
        <f t="shared" si="83"/>
        <v>Ireland</v>
      </c>
      <c r="I651" t="s">
        <v>633</v>
      </c>
      <c r="J651" s="7" t="str">
        <f>TEXT(
  IFERROR(
    DATEVALUE(SUBSTITUTE(SUBSTITUTE(TRIM(I651),"T"," "),"Z","")),
    IFERROR(
      DATE(
        RIGHT(TRIM(I651),4),
        MID(TRIM(I651),4,2),
        LEFT(TRIM(I651),2)
      ),
      DATE(
        VALUE(RIGHT(TRIM(I651),4)),
        MATCH(LEFT(TRIM(I651),FIND(" ",TRIM(I651))-1),
          {"January","February","March","April","May","June","July","August","September","October","November","December"},0),
        VALUE(MID(TRIM(I651),
          FIND(" ",TRIM(I651))+1,
          FIND(" ",TRIM(I651),FIND(" ",TRIM(I651))+1)-FIND(" ",TRIM(I651))-1))
      )
    )
  ),
"yyyy-mm-dd")</f>
        <v>2023-08-19</v>
      </c>
      <c r="K651" s="5" t="str">
        <f t="shared" si="84"/>
        <v>Aug</v>
      </c>
      <c r="L651">
        <v>1678394423</v>
      </c>
      <c r="M651" s="11">
        <f t="shared" si="85"/>
        <v>44994.86137731481</v>
      </c>
      <c r="O651" s="7">
        <f t="shared" si="86"/>
        <v>0</v>
      </c>
      <c r="P651" t="s">
        <v>84</v>
      </c>
      <c r="Q651" s="7" t="str">
        <f t="shared" si="87"/>
        <v xml:space="preserve">Newsletter subscriber </v>
      </c>
    </row>
    <row r="652" spans="1:17">
      <c r="A652">
        <v>1801</v>
      </c>
      <c r="B652" t="s">
        <v>166</v>
      </c>
      <c r="C652" s="9" t="str">
        <f t="shared" si="80"/>
        <v>Daniel Kim</v>
      </c>
      <c r="D652" s="7" t="str">
        <f t="shared" si="81"/>
        <v>Daniel Kim</v>
      </c>
      <c r="E652">
        <v>35</v>
      </c>
      <c r="F652" s="7">
        <f t="shared" si="82"/>
        <v>35</v>
      </c>
      <c r="G652" t="s">
        <v>29</v>
      </c>
      <c r="H652" s="7" t="str">
        <f t="shared" si="83"/>
        <v>United States</v>
      </c>
      <c r="I652" t="s">
        <v>79</v>
      </c>
      <c r="J652" s="7" t="str">
        <f>TEXT(
  IFERROR(
    DATEVALUE(SUBSTITUTE(SUBSTITUTE(TRIM(I652),"T"," "),"Z","")),
    IFERROR(
      DATE(
        RIGHT(TRIM(I652),4),
        MID(TRIM(I652),4,2),
        LEFT(TRIM(I652),2)
      ),
      DATE(
        VALUE(RIGHT(TRIM(I652),4)),
        MATCH(LEFT(TRIM(I652),FIND(" ",TRIM(I652))-1),
          {"January","February","March","April","May","June","July","August","September","October","November","December"},0),
        VALUE(MID(TRIM(I652),
          FIND(" ",TRIM(I652))+1,
          FIND(" ",TRIM(I652),FIND(" ",TRIM(I652))+1)-FIND(" ",TRIM(I652))-1))
      )
    )
  ),
"yyyy-mm-dd")</f>
        <v>2023-10-24</v>
      </c>
      <c r="K652" s="5" t="str">
        <f t="shared" si="84"/>
        <v>Oct</v>
      </c>
      <c r="L652">
        <v>1696073696</v>
      </c>
      <c r="M652" s="11">
        <f t="shared" si="85"/>
        <v>45199.482592592598</v>
      </c>
      <c r="N652">
        <v>521.48</v>
      </c>
      <c r="O652" s="7">
        <f t="shared" si="86"/>
        <v>521.48</v>
      </c>
      <c r="P652" t="s">
        <v>118</v>
      </c>
      <c r="Q652" s="7" t="str">
        <f t="shared" si="87"/>
        <v>High engagement</v>
      </c>
    </row>
    <row r="653" spans="1:17">
      <c r="A653">
        <v>1555</v>
      </c>
      <c r="B653" t="s">
        <v>56</v>
      </c>
      <c r="C653" s="9" t="str">
        <f t="shared" si="80"/>
        <v>Carlos García</v>
      </c>
      <c r="D653" s="7" t="str">
        <f t="shared" si="81"/>
        <v>Carlos García</v>
      </c>
      <c r="E653">
        <v>45</v>
      </c>
      <c r="F653" s="7">
        <f t="shared" si="82"/>
        <v>45</v>
      </c>
      <c r="G653" t="s">
        <v>29</v>
      </c>
      <c r="H653" s="7" t="str">
        <f t="shared" si="83"/>
        <v>United States</v>
      </c>
      <c r="I653" t="s">
        <v>634</v>
      </c>
      <c r="J653" s="7" t="str">
        <f>TEXT(
  IFERROR(
    DATEVALUE(SUBSTITUTE(SUBSTITUTE(TRIM(I653),"T"," "),"Z","")),
    IFERROR(
      DATE(
        RIGHT(TRIM(I653),4),
        MID(TRIM(I653),4,2),
        LEFT(TRIM(I653),2)
      ),
      DATE(
        VALUE(RIGHT(TRIM(I653),4)),
        MATCH(LEFT(TRIM(I653),FIND(" ",TRIM(I653))-1),
          {"January","February","March","April","May","June","July","August","September","October","November","December"},0),
        VALUE(MID(TRIM(I653),
          FIND(" ",TRIM(I653))+1,
          FIND(" ",TRIM(I653),FIND(" ",TRIM(I653))+1)-FIND(" ",TRIM(I653))-1))
      )
    )
  ),
"yyyy-mm-dd")</f>
        <v>2023-05-29</v>
      </c>
      <c r="K653" s="5" t="str">
        <f t="shared" si="84"/>
        <v>May</v>
      </c>
      <c r="L653">
        <v>1673602328</v>
      </c>
      <c r="M653" s="11">
        <f t="shared" si="85"/>
        <v>44939.397314814814</v>
      </c>
      <c r="O653" s="7">
        <f t="shared" si="86"/>
        <v>0</v>
      </c>
      <c r="P653" t="s">
        <v>40</v>
      </c>
      <c r="Q653" s="7" t="str">
        <f t="shared" si="87"/>
        <v xml:space="preserve">VIP client </v>
      </c>
    </row>
    <row r="654" spans="1:17">
      <c r="A654">
        <v>1792</v>
      </c>
      <c r="B654" t="s">
        <v>74</v>
      </c>
      <c r="C654" s="9" t="str">
        <f t="shared" si="80"/>
        <v>Sofia Rossi</v>
      </c>
      <c r="D654" s="7" t="str">
        <f t="shared" si="81"/>
        <v>Sofia Rossi</v>
      </c>
      <c r="F654" s="7">
        <f t="shared" si="82"/>
        <v>43</v>
      </c>
      <c r="G654" t="s">
        <v>102</v>
      </c>
      <c r="H654" s="7" t="str">
        <f t="shared" si="83"/>
        <v>Mexico</v>
      </c>
      <c r="I654" t="s">
        <v>635</v>
      </c>
      <c r="J654" s="7" t="str">
        <f>TEXT(
  IFERROR(
    DATEVALUE(SUBSTITUTE(SUBSTITUTE(TRIM(I654),"T"," "),"Z","")),
    IFERROR(
      DATE(
        RIGHT(TRIM(I654),4),
        MID(TRIM(I654),4,2),
        LEFT(TRIM(I654),2)
      ),
      DATE(
        VALUE(RIGHT(TRIM(I654),4)),
        MATCH(LEFT(TRIM(I654),FIND(" ",TRIM(I654))-1),
          {"January","February","March","April","May","June","July","August","September","October","November","December"},0),
        VALUE(MID(TRIM(I654),
          FIND(" ",TRIM(I654))+1,
          FIND(" ",TRIM(I654),FIND(" ",TRIM(I654))+1)-FIND(" ",TRIM(I654))-1))
      )
    )
  ),
"yyyy-mm-dd")</f>
        <v>2023-03-30</v>
      </c>
      <c r="K654" s="5" t="str">
        <f t="shared" si="84"/>
        <v>Mar</v>
      </c>
      <c r="L654">
        <v>1687147567</v>
      </c>
      <c r="M654" s="11">
        <f t="shared" si="85"/>
        <v>45096.170914351853</v>
      </c>
      <c r="O654" s="7">
        <f t="shared" si="86"/>
        <v>0</v>
      </c>
      <c r="P654" t="s">
        <v>27</v>
      </c>
      <c r="Q654" s="7" t="str">
        <f t="shared" si="87"/>
        <v xml:space="preserve">Holiday signup </v>
      </c>
    </row>
    <row r="655" spans="1:17">
      <c r="A655">
        <v>1376</v>
      </c>
      <c r="B655" t="s">
        <v>126</v>
      </c>
      <c r="C655" s="9" t="str">
        <f t="shared" si="80"/>
        <v>Noah Martin</v>
      </c>
      <c r="D655" s="7" t="str">
        <f t="shared" si="81"/>
        <v>Noah Martin</v>
      </c>
      <c r="E655">
        <v>45</v>
      </c>
      <c r="F655" s="7">
        <f t="shared" si="82"/>
        <v>45</v>
      </c>
      <c r="G655" t="s">
        <v>67</v>
      </c>
      <c r="H655" s="7" t="str">
        <f t="shared" si="83"/>
        <v>Sweden</v>
      </c>
      <c r="I655" t="s">
        <v>636</v>
      </c>
      <c r="J655" s="7" t="str">
        <f>TEXT(
  IFERROR(
    DATEVALUE(SUBSTITUTE(SUBSTITUTE(TRIM(I655),"T"," "),"Z","")),
    IFERROR(
      DATE(
        RIGHT(TRIM(I655),4),
        MID(TRIM(I655),4,2),
        LEFT(TRIM(I655),2)
      ),
      DATE(
        VALUE(RIGHT(TRIM(I655),4)),
        MATCH(LEFT(TRIM(I655),FIND(" ",TRIM(I655))-1),
          {"January","February","March","April","May","June","July","August","September","October","November","December"},0),
        VALUE(MID(TRIM(I655),
          FIND(" ",TRIM(I655))+1,
          FIND(" ",TRIM(I655),FIND(" ",TRIM(I655))+1)-FIND(" ",TRIM(I655))-1))
      )
    )
  ),
"yyyy-mm-dd")</f>
        <v>2023-08-15</v>
      </c>
      <c r="K655" s="5" t="str">
        <f t="shared" si="84"/>
        <v>Aug</v>
      </c>
      <c r="L655">
        <v>1689429231</v>
      </c>
      <c r="M655" s="11">
        <f t="shared" si="85"/>
        <v>45122.579062500001</v>
      </c>
      <c r="O655" s="7">
        <f t="shared" si="86"/>
        <v>0</v>
      </c>
      <c r="P655" t="s">
        <v>36</v>
      </c>
      <c r="Q655" s="7" t="str">
        <f t="shared" si="87"/>
        <v>Regular shopper</v>
      </c>
    </row>
    <row r="656" spans="1:17">
      <c r="A656">
        <v>1125</v>
      </c>
      <c r="B656" t="s">
        <v>140</v>
      </c>
      <c r="C656" s="9" t="str">
        <f t="shared" si="80"/>
        <v>Anne Müller</v>
      </c>
      <c r="D656" s="7" t="str">
        <f t="shared" si="81"/>
        <v>Anne Müller</v>
      </c>
      <c r="E656">
        <v>50</v>
      </c>
      <c r="F656" s="7">
        <f t="shared" si="82"/>
        <v>50</v>
      </c>
      <c r="G656" t="s">
        <v>29</v>
      </c>
      <c r="H656" s="7" t="str">
        <f t="shared" si="83"/>
        <v>United States</v>
      </c>
      <c r="I656" t="s">
        <v>637</v>
      </c>
      <c r="J656" s="7" t="str">
        <f>TEXT(
  IFERROR(
    DATEVALUE(SUBSTITUTE(SUBSTITUTE(TRIM(I656),"T"," "),"Z","")),
    IFERROR(
      DATE(
        RIGHT(TRIM(I656),4),
        MID(TRIM(I656),4,2),
        LEFT(TRIM(I656),2)
      ),
      DATE(
        VALUE(RIGHT(TRIM(I656),4)),
        MATCH(LEFT(TRIM(I656),FIND(" ",TRIM(I656))-1),
          {"January","February","March","April","May","June","July","August","September","October","November","December"},0),
        VALUE(MID(TRIM(I656),
          FIND(" ",TRIM(I656))+1,
          FIND(" ",TRIM(I656),FIND(" ",TRIM(I656))+1)-FIND(" ",TRIM(I656))-1))
      )
    )
  ),
"yyyy-mm-dd")</f>
        <v>2023-12-26</v>
      </c>
      <c r="K656" s="5" t="str">
        <f t="shared" si="84"/>
        <v>Dec</v>
      </c>
      <c r="L656">
        <v>1689846946</v>
      </c>
      <c r="M656" s="11">
        <f t="shared" si="85"/>
        <v>45127.413726851853</v>
      </c>
      <c r="O656" s="7">
        <f t="shared" si="86"/>
        <v>0</v>
      </c>
      <c r="P656" t="s">
        <v>33</v>
      </c>
      <c r="Q656" s="7" t="str">
        <f t="shared" si="87"/>
        <v>Frequent buyer n</v>
      </c>
    </row>
    <row r="657" spans="1:17">
      <c r="A657">
        <v>1001</v>
      </c>
      <c r="B657" t="s">
        <v>56</v>
      </c>
      <c r="C657" s="9" t="str">
        <f t="shared" si="80"/>
        <v>Carlos García</v>
      </c>
      <c r="D657" s="7" t="str">
        <f t="shared" si="81"/>
        <v>Carlos García</v>
      </c>
      <c r="E657">
        <v>25</v>
      </c>
      <c r="F657" s="7">
        <f t="shared" si="82"/>
        <v>25</v>
      </c>
      <c r="G657" t="s">
        <v>38</v>
      </c>
      <c r="H657" s="7" t="str">
        <f t="shared" si="83"/>
        <v>Spain</v>
      </c>
      <c r="I657" t="s">
        <v>638</v>
      </c>
      <c r="J657" s="7" t="str">
        <f>TEXT(
  IFERROR(
    DATEVALUE(SUBSTITUTE(SUBSTITUTE(TRIM(I657),"T"," "),"Z","")),
    IFERROR(
      DATE(
        RIGHT(TRIM(I657),4),
        MID(TRIM(I657),4,2),
        LEFT(TRIM(I657),2)
      ),
      DATE(
        VALUE(RIGHT(TRIM(I657),4)),
        MATCH(LEFT(TRIM(I657),FIND(" ",TRIM(I657))-1),
          {"January","February","March","April","May","June","July","August","September","October","November","December"},0),
        VALUE(MID(TRIM(I657),
          FIND(" ",TRIM(I657))+1,
          FIND(" ",TRIM(I657),FIND(" ",TRIM(I657))+1)-FIND(" ",TRIM(I657))-1))
      )
    )
  ),
"yyyy-mm-dd")</f>
        <v>2023-04-15</v>
      </c>
      <c r="K657" s="5" t="str">
        <f t="shared" si="84"/>
        <v>Apr</v>
      </c>
      <c r="L657">
        <v>1688420157</v>
      </c>
      <c r="M657" s="11">
        <f t="shared" si="85"/>
        <v>45110.899965277778</v>
      </c>
      <c r="O657" s="7">
        <f t="shared" si="86"/>
        <v>0</v>
      </c>
      <c r="P657" t="s">
        <v>118</v>
      </c>
      <c r="Q657" s="7" t="str">
        <f t="shared" si="87"/>
        <v>High engagement</v>
      </c>
    </row>
    <row r="658" spans="1:17">
      <c r="A658">
        <v>1114</v>
      </c>
      <c r="B658" t="s">
        <v>224</v>
      </c>
      <c r="C658" s="9" t="str">
        <f t="shared" si="80"/>
        <v>Anne Müller</v>
      </c>
      <c r="D658" s="7" t="str">
        <f t="shared" si="81"/>
        <v xml:space="preserve"> Anne Müller </v>
      </c>
      <c r="E658">
        <v>48</v>
      </c>
      <c r="F658" s="7">
        <f t="shared" si="82"/>
        <v>48</v>
      </c>
      <c r="G658" t="s">
        <v>62</v>
      </c>
      <c r="H658" s="7" t="str">
        <f t="shared" si="83"/>
        <v>Ireland</v>
      </c>
      <c r="I658" t="s">
        <v>390</v>
      </c>
      <c r="J658" s="7" t="str">
        <f>TEXT(
  IFERROR(
    DATEVALUE(SUBSTITUTE(SUBSTITUTE(TRIM(I658),"T"," "),"Z","")),
    IFERROR(
      DATE(
        RIGHT(TRIM(I658),4),
        MID(TRIM(I658),4,2),
        LEFT(TRIM(I658),2)
      ),
      DATE(
        VALUE(RIGHT(TRIM(I658),4)),
        MATCH(LEFT(TRIM(I658),FIND(" ",TRIM(I658))-1),
          {"January","February","March","April","May","June","July","August","September","October","November","December"},0),
        VALUE(MID(TRIM(I658),
          FIND(" ",TRIM(I658))+1,
          FIND(" ",TRIM(I658),FIND(" ",TRIM(I658))+1)-FIND(" ",TRIM(I658))-1))
      )
    )
  ),
"yyyy-mm-dd")</f>
        <v>2023-05-14</v>
      </c>
      <c r="K658" s="5" t="str">
        <f t="shared" si="84"/>
        <v>May</v>
      </c>
      <c r="L658">
        <v>1695385320</v>
      </c>
      <c r="M658" s="11">
        <f t="shared" si="85"/>
        <v>45191.515277777777</v>
      </c>
      <c r="N658">
        <v>664.3</v>
      </c>
      <c r="O658" s="7">
        <f t="shared" si="86"/>
        <v>664.3</v>
      </c>
      <c r="P658" t="s">
        <v>118</v>
      </c>
      <c r="Q658" s="7" t="str">
        <f t="shared" si="87"/>
        <v>High engagement</v>
      </c>
    </row>
    <row r="659" spans="1:17">
      <c r="A659">
        <v>1984</v>
      </c>
      <c r="B659" t="s">
        <v>240</v>
      </c>
      <c r="C659" s="9" t="str">
        <f t="shared" si="80"/>
        <v>Fatima Ali</v>
      </c>
      <c r="D659" s="7" t="str">
        <f t="shared" si="81"/>
        <v xml:space="preserve"> Fatima Ali </v>
      </c>
      <c r="F659" s="7">
        <f t="shared" si="82"/>
        <v>43</v>
      </c>
      <c r="G659" t="s">
        <v>122</v>
      </c>
      <c r="H659" s="7" t="str">
        <f t="shared" si="83"/>
        <v>Italy</v>
      </c>
      <c r="I659" t="s">
        <v>639</v>
      </c>
      <c r="J659" s="7" t="str">
        <f>TEXT(
  IFERROR(
    DATEVALUE(SUBSTITUTE(SUBSTITUTE(TRIM(I659),"T"," "),"Z","")),
    IFERROR(
      DATE(
        RIGHT(TRIM(I659),4),
        MID(TRIM(I659),4,2),
        LEFT(TRIM(I659),2)
      ),
      DATE(
        VALUE(RIGHT(TRIM(I659),4)),
        MATCH(LEFT(TRIM(I659),FIND(" ",TRIM(I659))-1),
          {"January","February","March","April","May","June","July","August","September","October","November","December"},0),
        VALUE(MID(TRIM(I659),
          FIND(" ",TRIM(I659))+1,
          FIND(" ",TRIM(I659),FIND(" ",TRIM(I659))+1)-FIND(" ",TRIM(I659))-1))
      )
    )
  ),
"yyyy-mm-dd")</f>
        <v>2023-08-12</v>
      </c>
      <c r="K659" s="5" t="str">
        <f t="shared" si="84"/>
        <v>Aug</v>
      </c>
      <c r="L659">
        <v>1685650132</v>
      </c>
      <c r="M659" s="11">
        <f t="shared" si="85"/>
        <v>45078.839490740742</v>
      </c>
      <c r="N659">
        <v>584.87</v>
      </c>
      <c r="O659" s="7">
        <f t="shared" si="86"/>
        <v>584.87</v>
      </c>
      <c r="P659" t="s">
        <v>36</v>
      </c>
      <c r="Q659" s="7" t="str">
        <f t="shared" si="87"/>
        <v>Regular shopper</v>
      </c>
    </row>
    <row r="660" spans="1:17">
      <c r="A660">
        <v>1854</v>
      </c>
      <c r="B660" t="s">
        <v>53</v>
      </c>
      <c r="C660" s="9" t="str">
        <f t="shared" si="80"/>
        <v>Sofia Rossi</v>
      </c>
      <c r="D660" s="7" t="str">
        <f t="shared" si="81"/>
        <v xml:space="preserve"> Sofia Rossi </v>
      </c>
      <c r="E660">
        <v>36</v>
      </c>
      <c r="F660" s="7">
        <f t="shared" si="82"/>
        <v>36</v>
      </c>
      <c r="G660" t="s">
        <v>116</v>
      </c>
      <c r="H660" s="7" t="str">
        <f t="shared" si="83"/>
        <v>China</v>
      </c>
      <c r="I660" t="s">
        <v>384</v>
      </c>
      <c r="J660" s="7" t="str">
        <f>TEXT(
  IFERROR(
    DATEVALUE(SUBSTITUTE(SUBSTITUTE(TRIM(I660),"T"," "),"Z","")),
    IFERROR(
      DATE(
        RIGHT(TRIM(I660),4),
        MID(TRIM(I660),4,2),
        LEFT(TRIM(I660),2)
      ),
      DATE(
        VALUE(RIGHT(TRIM(I660),4)),
        MATCH(LEFT(TRIM(I660),FIND(" ",TRIM(I660))-1),
          {"January","February","March","April","May","June","July","August","September","October","November","December"},0),
        VALUE(MID(TRIM(I660),
          FIND(" ",TRIM(I660))+1,
          FIND(" ",TRIM(I660),FIND(" ",TRIM(I660))+1)-FIND(" ",TRIM(I660))-1))
      )
    )
  ),
"yyyy-mm-dd")</f>
        <v>2023-01-06</v>
      </c>
      <c r="K660" s="5" t="str">
        <f t="shared" si="84"/>
        <v>Jan</v>
      </c>
      <c r="L660">
        <v>1682682992</v>
      </c>
      <c r="M660" s="11">
        <f t="shared" si="85"/>
        <v>45044.497592592597</v>
      </c>
      <c r="O660" s="7">
        <f t="shared" si="86"/>
        <v>0</v>
      </c>
      <c r="P660" t="s">
        <v>20</v>
      </c>
      <c r="Q660" s="7" t="str">
        <f t="shared" si="87"/>
        <v xml:space="preserve">Great customer </v>
      </c>
    </row>
    <row r="661" spans="1:17">
      <c r="A661">
        <v>1621</v>
      </c>
      <c r="B661" t="s">
        <v>198</v>
      </c>
      <c r="C661" s="9" t="str">
        <f t="shared" si="80"/>
        <v>Noah Martin</v>
      </c>
      <c r="D661" s="7" t="str">
        <f t="shared" si="81"/>
        <v xml:space="preserve"> Noah Martin </v>
      </c>
      <c r="F661" s="7">
        <f t="shared" si="82"/>
        <v>43</v>
      </c>
      <c r="G661" t="s">
        <v>60</v>
      </c>
      <c r="H661" s="7" t="str">
        <f t="shared" si="83"/>
        <v>Egypt</v>
      </c>
      <c r="I661" t="s">
        <v>640</v>
      </c>
      <c r="J661" s="7" t="str">
        <f>TEXT(
  IFERROR(
    DATEVALUE(SUBSTITUTE(SUBSTITUTE(TRIM(I661),"T"," "),"Z","")),
    IFERROR(
      DATE(
        RIGHT(TRIM(I661),4),
        MID(TRIM(I661),4,2),
        LEFT(TRIM(I661),2)
      ),
      DATE(
        VALUE(RIGHT(TRIM(I661),4)),
        MATCH(LEFT(TRIM(I661),FIND(" ",TRIM(I661))-1),
          {"January","February","March","April","May","June","July","August","September","October","November","December"},0),
        VALUE(MID(TRIM(I661),
          FIND(" ",TRIM(I661))+1,
          FIND(" ",TRIM(I661),FIND(" ",TRIM(I661))+1)-FIND(" ",TRIM(I661))-1))
      )
    )
  ),
"yyyy-mm-dd")</f>
        <v>2023-11-07</v>
      </c>
      <c r="K661" s="5" t="str">
        <f t="shared" si="84"/>
        <v>Nov</v>
      </c>
      <c r="L661">
        <v>1691852659</v>
      </c>
      <c r="M661" s="11">
        <f t="shared" si="85"/>
        <v>45150.62799768518</v>
      </c>
      <c r="O661" s="7">
        <f t="shared" si="86"/>
        <v>0</v>
      </c>
      <c r="P661" t="s">
        <v>33</v>
      </c>
      <c r="Q661" s="7" t="str">
        <f t="shared" si="87"/>
        <v>Frequent buyer n</v>
      </c>
    </row>
    <row r="662" spans="1:17">
      <c r="A662">
        <v>1658</v>
      </c>
      <c r="B662" t="s">
        <v>140</v>
      </c>
      <c r="C662" s="9" t="str">
        <f t="shared" si="80"/>
        <v>Anne Müller</v>
      </c>
      <c r="D662" s="7" t="str">
        <f t="shared" si="81"/>
        <v>Anne Müller</v>
      </c>
      <c r="E662">
        <v>26</v>
      </c>
      <c r="F662" s="7">
        <f t="shared" si="82"/>
        <v>26</v>
      </c>
      <c r="G662" t="s">
        <v>62</v>
      </c>
      <c r="H662" s="7" t="str">
        <f t="shared" si="83"/>
        <v>Ireland</v>
      </c>
      <c r="I662" t="s">
        <v>641</v>
      </c>
      <c r="J662" s="7" t="str">
        <f>TEXT(
  IFERROR(
    DATEVALUE(SUBSTITUTE(SUBSTITUTE(TRIM(I662),"T"," "),"Z","")),
    IFERROR(
      DATE(
        RIGHT(TRIM(I662),4),
        MID(TRIM(I662),4,2),
        LEFT(TRIM(I662),2)
      ),
      DATE(
        VALUE(RIGHT(TRIM(I662),4)),
        MATCH(LEFT(TRIM(I662),FIND(" ",TRIM(I662))-1),
          {"January","February","March","April","May","June","July","August","September","October","November","December"},0),
        VALUE(MID(TRIM(I662),
          FIND(" ",TRIM(I662))+1,
          FIND(" ",TRIM(I662),FIND(" ",TRIM(I662))+1)-FIND(" ",TRIM(I662))-1))
      )
    )
  ),
"yyyy-mm-dd")</f>
        <v>2023-04-13</v>
      </c>
      <c r="K662" s="5" t="str">
        <f t="shared" si="84"/>
        <v>Apr</v>
      </c>
      <c r="L662">
        <v>1680996324</v>
      </c>
      <c r="M662" s="11">
        <f t="shared" si="85"/>
        <v>45024.975972222222</v>
      </c>
      <c r="O662" s="7">
        <f t="shared" si="86"/>
        <v>0</v>
      </c>
      <c r="P662" t="s">
        <v>40</v>
      </c>
      <c r="Q662" s="7" t="str">
        <f t="shared" si="87"/>
        <v xml:space="preserve">VIP client </v>
      </c>
    </row>
    <row r="663" spans="1:17">
      <c r="A663">
        <v>1145</v>
      </c>
      <c r="B663" t="s">
        <v>74</v>
      </c>
      <c r="C663" s="9" t="str">
        <f t="shared" si="80"/>
        <v>Sofia Rossi</v>
      </c>
      <c r="D663" s="7" t="str">
        <f t="shared" si="81"/>
        <v>Sofia Rossi</v>
      </c>
      <c r="E663">
        <v>23</v>
      </c>
      <c r="F663" s="7">
        <f t="shared" si="82"/>
        <v>23</v>
      </c>
      <c r="G663" t="s">
        <v>60</v>
      </c>
      <c r="H663" s="7" t="str">
        <f t="shared" si="83"/>
        <v>Egypt</v>
      </c>
      <c r="I663" t="s">
        <v>235</v>
      </c>
      <c r="J663" s="7" t="str">
        <f>TEXT(
  IFERROR(
    DATEVALUE(SUBSTITUTE(SUBSTITUTE(TRIM(I663),"T"," "),"Z","")),
    IFERROR(
      DATE(
        RIGHT(TRIM(I663),4),
        MID(TRIM(I663),4,2),
        LEFT(TRIM(I663),2)
      ),
      DATE(
        VALUE(RIGHT(TRIM(I663),4)),
        MATCH(LEFT(TRIM(I663),FIND(" ",TRIM(I663))-1),
          {"January","February","March","April","May","June","July","August","September","October","November","December"},0),
        VALUE(MID(TRIM(I663),
          FIND(" ",TRIM(I663))+1,
          FIND(" ",TRIM(I663),FIND(" ",TRIM(I663))+1)-FIND(" ",TRIM(I663))-1))
      )
    )
  ),
"yyyy-mm-dd")</f>
        <v>2023-08-03</v>
      </c>
      <c r="K663" s="5" t="str">
        <f t="shared" si="84"/>
        <v>Aug</v>
      </c>
      <c r="L663">
        <v>1696794919</v>
      </c>
      <c r="M663" s="11">
        <f t="shared" si="85"/>
        <v>45207.830081018517</v>
      </c>
      <c r="N663">
        <v>72.19</v>
      </c>
      <c r="O663" s="7">
        <f t="shared" si="86"/>
        <v>72.19</v>
      </c>
      <c r="P663" t="s">
        <v>36</v>
      </c>
      <c r="Q663" s="7" t="str">
        <f t="shared" si="87"/>
        <v>Regular shopper</v>
      </c>
    </row>
    <row r="664" spans="1:17">
      <c r="A664">
        <v>1600</v>
      </c>
      <c r="B664" t="s">
        <v>114</v>
      </c>
      <c r="C664" s="9" t="str">
        <f t="shared" si="80"/>
        <v>Liam O’Connor</v>
      </c>
      <c r="D664" s="7" t="str">
        <f t="shared" si="81"/>
        <v xml:space="preserve"> Liam O’Connor </v>
      </c>
      <c r="E664">
        <v>38</v>
      </c>
      <c r="F664" s="7">
        <f t="shared" si="82"/>
        <v>38</v>
      </c>
      <c r="G664" t="s">
        <v>62</v>
      </c>
      <c r="H664" s="7" t="str">
        <f t="shared" si="83"/>
        <v>Ireland</v>
      </c>
      <c r="I664" t="s">
        <v>642</v>
      </c>
      <c r="J664" s="7" t="str">
        <f>TEXT(
  IFERROR(
    DATEVALUE(SUBSTITUTE(SUBSTITUTE(TRIM(I664),"T"," "),"Z","")),
    IFERROR(
      DATE(
        RIGHT(TRIM(I664),4),
        MID(TRIM(I664),4,2),
        LEFT(TRIM(I664),2)
      ),
      DATE(
        VALUE(RIGHT(TRIM(I664),4)),
        MATCH(LEFT(TRIM(I664),FIND(" ",TRIM(I664))-1),
          {"January","February","March","April","May","June","July","August","September","October","November","December"},0),
        VALUE(MID(TRIM(I664),
          FIND(" ",TRIM(I664))+1,
          FIND(" ",TRIM(I664),FIND(" ",TRIM(I664))+1)-FIND(" ",TRIM(I664))-1))
      )
    )
  ),
"yyyy-mm-dd")</f>
        <v>2023-09-15</v>
      </c>
      <c r="K664" s="5" t="str">
        <f t="shared" si="84"/>
        <v>Sep</v>
      </c>
      <c r="L664">
        <v>1674335856</v>
      </c>
      <c r="M664" s="11">
        <f t="shared" si="85"/>
        <v>44947.887222222227</v>
      </c>
      <c r="O664" s="7">
        <f t="shared" si="86"/>
        <v>0</v>
      </c>
      <c r="P664" t="s">
        <v>27</v>
      </c>
      <c r="Q664" s="7" t="str">
        <f t="shared" si="87"/>
        <v xml:space="preserve">Holiday signup </v>
      </c>
    </row>
    <row r="665" spans="1:17">
      <c r="A665">
        <v>1996</v>
      </c>
      <c r="B665" t="s">
        <v>85</v>
      </c>
      <c r="C665" s="9" t="str">
        <f t="shared" si="80"/>
        <v>Akira Tanaka</v>
      </c>
      <c r="D665" s="7" t="str">
        <f t="shared" si="81"/>
        <v xml:space="preserve"> Akira Tanaka </v>
      </c>
      <c r="E665">
        <v>26</v>
      </c>
      <c r="F665" s="7">
        <f t="shared" si="82"/>
        <v>26</v>
      </c>
      <c r="G665" t="s">
        <v>102</v>
      </c>
      <c r="H665" s="7" t="str">
        <f t="shared" si="83"/>
        <v>Mexico</v>
      </c>
      <c r="I665" t="s">
        <v>643</v>
      </c>
      <c r="J665" s="7" t="str">
        <f>TEXT(
  IFERROR(
    DATEVALUE(SUBSTITUTE(SUBSTITUTE(TRIM(I665),"T"," "),"Z","")),
    IFERROR(
      DATE(
        RIGHT(TRIM(I665),4),
        MID(TRIM(I665),4,2),
        LEFT(TRIM(I665),2)
      ),
      DATE(
        VALUE(RIGHT(TRIM(I665),4)),
        MATCH(LEFT(TRIM(I665),FIND(" ",TRIM(I665))-1),
          {"January","February","March","April","May","June","July","August","September","October","November","December"},0),
        VALUE(MID(TRIM(I665),
          FIND(" ",TRIM(I665))+1,
          FIND(" ",TRIM(I665),FIND(" ",TRIM(I665))+1)-FIND(" ",TRIM(I665))-1))
      )
    )
  ),
"yyyy-mm-dd")</f>
        <v>2023-10-11</v>
      </c>
      <c r="K665" s="5" t="str">
        <f t="shared" si="84"/>
        <v>Oct</v>
      </c>
      <c r="L665">
        <v>1676642741</v>
      </c>
      <c r="M665" s="11">
        <f t="shared" si="85"/>
        <v>44974.587280092594</v>
      </c>
      <c r="N665">
        <v>564.86</v>
      </c>
      <c r="O665" s="7">
        <f t="shared" si="86"/>
        <v>564.86</v>
      </c>
      <c r="P665" t="s">
        <v>20</v>
      </c>
      <c r="Q665" s="7" t="str">
        <f t="shared" si="87"/>
        <v xml:space="preserve">Great customer </v>
      </c>
    </row>
    <row r="666" spans="1:17">
      <c r="A666">
        <v>1482</v>
      </c>
      <c r="B666" t="s">
        <v>24</v>
      </c>
      <c r="C666" s="9" t="str">
        <f t="shared" si="80"/>
        <v>Renée Dupont</v>
      </c>
      <c r="D666" s="7" t="str">
        <f t="shared" si="81"/>
        <v>Renée Dupont</v>
      </c>
      <c r="E666">
        <v>47</v>
      </c>
      <c r="F666" s="7">
        <f t="shared" si="82"/>
        <v>47</v>
      </c>
      <c r="G666" t="s">
        <v>60</v>
      </c>
      <c r="H666" s="7" t="str">
        <f t="shared" si="83"/>
        <v>Egypt</v>
      </c>
      <c r="I666" t="s">
        <v>434</v>
      </c>
      <c r="J666" s="7" t="str">
        <f>TEXT(
  IFERROR(
    DATEVALUE(SUBSTITUTE(SUBSTITUTE(TRIM(I666),"T"," "),"Z","")),
    IFERROR(
      DATE(
        RIGHT(TRIM(I666),4),
        MID(TRIM(I666),4,2),
        LEFT(TRIM(I666),2)
      ),
      DATE(
        VALUE(RIGHT(TRIM(I666),4)),
        MATCH(LEFT(TRIM(I666),FIND(" ",TRIM(I666))-1),
          {"January","February","March","April","May","June","July","August","September","October","November","December"},0),
        VALUE(MID(TRIM(I666),
          FIND(" ",TRIM(I666))+1,
          FIND(" ",TRIM(I666),FIND(" ",TRIM(I666))+1)-FIND(" ",TRIM(I666))-1))
      )
    )
  ),
"yyyy-mm-dd")</f>
        <v>2023-01-18</v>
      </c>
      <c r="K666" s="5" t="str">
        <f t="shared" si="84"/>
        <v>Jan</v>
      </c>
      <c r="L666">
        <v>1681851035</v>
      </c>
      <c r="M666" s="11">
        <f t="shared" si="85"/>
        <v>45034.868460648147</v>
      </c>
      <c r="O666" s="7">
        <f t="shared" si="86"/>
        <v>0</v>
      </c>
      <c r="P666" t="s">
        <v>52</v>
      </c>
      <c r="Q666" s="7" t="str">
        <f t="shared" si="87"/>
        <v xml:space="preserve">Prefers email </v>
      </c>
    </row>
    <row r="667" spans="1:17">
      <c r="A667">
        <v>1123</v>
      </c>
      <c r="B667" t="s">
        <v>37</v>
      </c>
      <c r="C667" s="9" t="str">
        <f t="shared" si="80"/>
        <v>Akira Tanaka</v>
      </c>
      <c r="D667" s="7" t="str">
        <f t="shared" si="81"/>
        <v>Akira Tanaka</v>
      </c>
      <c r="E667">
        <v>42</v>
      </c>
      <c r="F667" s="7">
        <f t="shared" si="82"/>
        <v>42</v>
      </c>
      <c r="G667" t="s">
        <v>116</v>
      </c>
      <c r="H667" s="7" t="str">
        <f t="shared" si="83"/>
        <v>China</v>
      </c>
      <c r="I667" t="s">
        <v>644</v>
      </c>
      <c r="J667" s="7" t="str">
        <f>TEXT(
  IFERROR(
    DATEVALUE(SUBSTITUTE(SUBSTITUTE(TRIM(I667),"T"," "),"Z","")),
    IFERROR(
      DATE(
        RIGHT(TRIM(I667),4),
        MID(TRIM(I667),4,2),
        LEFT(TRIM(I667),2)
      ),
      DATE(
        VALUE(RIGHT(TRIM(I667),4)),
        MATCH(LEFT(TRIM(I667),FIND(" ",TRIM(I667))-1),
          {"January","February","March","April","May","June","July","August","September","October","November","December"},0),
        VALUE(MID(TRIM(I667),
          FIND(" ",TRIM(I667))+1,
          FIND(" ",TRIM(I667),FIND(" ",TRIM(I667))+1)-FIND(" ",TRIM(I667))-1))
      )
    )
  ),
"yyyy-mm-dd")</f>
        <v>2023-07-16</v>
      </c>
      <c r="K667" s="5" t="str">
        <f t="shared" si="84"/>
        <v>Jul</v>
      </c>
      <c r="L667">
        <v>1674014338</v>
      </c>
      <c r="M667" s="11">
        <f t="shared" si="85"/>
        <v>44944.165949074071</v>
      </c>
      <c r="O667" s="7">
        <f t="shared" si="86"/>
        <v>0</v>
      </c>
      <c r="P667" t="s">
        <v>33</v>
      </c>
      <c r="Q667" s="7" t="str">
        <f t="shared" si="87"/>
        <v>Frequent buyer n</v>
      </c>
    </row>
    <row r="668" spans="1:17">
      <c r="A668">
        <v>1883</v>
      </c>
      <c r="B668" t="s">
        <v>143</v>
      </c>
      <c r="C668" s="9" t="str">
        <f t="shared" si="80"/>
        <v>Chloe Dubois</v>
      </c>
      <c r="D668" s="7" t="str">
        <f t="shared" si="81"/>
        <v xml:space="preserve"> Chloe Dubois </v>
      </c>
      <c r="E668">
        <v>20</v>
      </c>
      <c r="F668" s="7">
        <f t="shared" si="82"/>
        <v>20</v>
      </c>
      <c r="G668" t="s">
        <v>122</v>
      </c>
      <c r="H668" s="7" t="str">
        <f t="shared" si="83"/>
        <v>Italy</v>
      </c>
      <c r="I668" t="s">
        <v>645</v>
      </c>
      <c r="J668" s="7" t="str">
        <f>TEXT(
  IFERROR(
    DATEVALUE(SUBSTITUTE(SUBSTITUTE(TRIM(I668),"T"," "),"Z","")),
    IFERROR(
      DATE(
        RIGHT(TRIM(I668),4),
        MID(TRIM(I668),4,2),
        LEFT(TRIM(I668),2)
      ),
      DATE(
        VALUE(RIGHT(TRIM(I668),4)),
        MATCH(LEFT(TRIM(I668),FIND(" ",TRIM(I668))-1),
          {"January","February","March","April","May","June","July","August","September","October","November","December"},0),
        VALUE(MID(TRIM(I668),
          FIND(" ",TRIM(I668))+1,
          FIND(" ",TRIM(I668),FIND(" ",TRIM(I668))+1)-FIND(" ",TRIM(I668))-1))
      )
    )
  ),
"yyyy-mm-dd")</f>
        <v>2023-01-14</v>
      </c>
      <c r="K668" s="5" t="str">
        <f t="shared" si="84"/>
        <v>Jan</v>
      </c>
      <c r="L668">
        <v>1697840083</v>
      </c>
      <c r="M668" s="11">
        <f t="shared" si="85"/>
        <v>45219.926886574074</v>
      </c>
      <c r="O668" s="7">
        <f t="shared" si="86"/>
        <v>0</v>
      </c>
      <c r="P668" t="s">
        <v>27</v>
      </c>
      <c r="Q668" s="7" t="str">
        <f t="shared" si="87"/>
        <v xml:space="preserve">Holiday signup </v>
      </c>
    </row>
    <row r="669" spans="1:17">
      <c r="A669">
        <v>1444</v>
      </c>
      <c r="B669" t="s">
        <v>97</v>
      </c>
      <c r="C669" s="9" t="str">
        <f t="shared" si="80"/>
        <v>Björn Larsson</v>
      </c>
      <c r="D669" s="7" t="str">
        <f t="shared" si="81"/>
        <v xml:space="preserve"> Björn Larsson </v>
      </c>
      <c r="F669" s="7">
        <f t="shared" si="82"/>
        <v>43</v>
      </c>
      <c r="G669" t="s">
        <v>44</v>
      </c>
      <c r="H669" s="7" t="str">
        <f t="shared" si="83"/>
        <v>UAE</v>
      </c>
      <c r="I669" t="s">
        <v>646</v>
      </c>
      <c r="J669" s="7" t="str">
        <f>TEXT(
  IFERROR(
    DATEVALUE(SUBSTITUTE(SUBSTITUTE(TRIM(I669),"T"," "),"Z","")),
    IFERROR(
      DATE(
        RIGHT(TRIM(I669),4),
        MID(TRIM(I669),4,2),
        LEFT(TRIM(I669),2)
      ),
      DATE(
        VALUE(RIGHT(TRIM(I669),4)),
        MATCH(LEFT(TRIM(I669),FIND(" ",TRIM(I669))-1),
          {"January","February","March","April","May","June","July","August","September","October","November","December"},0),
        VALUE(MID(TRIM(I669),
          FIND(" ",TRIM(I669))+1,
          FIND(" ",TRIM(I669),FIND(" ",TRIM(I669))+1)-FIND(" ",TRIM(I669))-1))
      )
    )
  ),
"yyyy-mm-dd")</f>
        <v>2023-01-30</v>
      </c>
      <c r="K669" s="5" t="str">
        <f t="shared" si="84"/>
        <v>Jan</v>
      </c>
      <c r="L669">
        <v>1691089471</v>
      </c>
      <c r="M669" s="11">
        <f t="shared" si="85"/>
        <v>45141.794803240744</v>
      </c>
      <c r="O669" s="7">
        <f t="shared" si="86"/>
        <v>0</v>
      </c>
      <c r="P669" t="s">
        <v>46</v>
      </c>
      <c r="Q669" s="7" t="str">
        <f t="shared" si="87"/>
        <v>Corporate account</v>
      </c>
    </row>
    <row r="670" spans="1:17">
      <c r="A670">
        <v>1950</v>
      </c>
      <c r="B670" t="s">
        <v>74</v>
      </c>
      <c r="C670" s="9" t="str">
        <f t="shared" si="80"/>
        <v>Sofia Rossi</v>
      </c>
      <c r="D670" s="7" t="str">
        <f t="shared" si="81"/>
        <v>Sofia Rossi</v>
      </c>
      <c r="F670" s="7">
        <f t="shared" si="82"/>
        <v>43</v>
      </c>
      <c r="G670" t="s">
        <v>48</v>
      </c>
      <c r="H670" s="7" t="str">
        <f t="shared" si="83"/>
        <v>France</v>
      </c>
      <c r="I670" t="s">
        <v>376</v>
      </c>
      <c r="J670" s="7" t="str">
        <f>TEXT(
  IFERROR(
    DATEVALUE(SUBSTITUTE(SUBSTITUTE(TRIM(I670),"T"," "),"Z","")),
    IFERROR(
      DATE(
        RIGHT(TRIM(I670),4),
        MID(TRIM(I670),4,2),
        LEFT(TRIM(I670),2)
      ),
      DATE(
        VALUE(RIGHT(TRIM(I670),4)),
        MATCH(LEFT(TRIM(I670),FIND(" ",TRIM(I670))-1),
          {"January","February","March","April","May","June","July","August","September","October","November","December"},0),
        VALUE(MID(TRIM(I670),
          FIND(" ",TRIM(I670))+1,
          FIND(" ",TRIM(I670),FIND(" ",TRIM(I670))+1)-FIND(" ",TRIM(I670))-1))
      )
    )
  ),
"yyyy-mm-dd")</f>
        <v>2023-07-15</v>
      </c>
      <c r="K670" s="5" t="str">
        <f t="shared" si="84"/>
        <v>Jul</v>
      </c>
      <c r="L670">
        <v>1697543320</v>
      </c>
      <c r="M670" s="11">
        <f t="shared" si="85"/>
        <v>45216.492129629631</v>
      </c>
      <c r="N670">
        <v>1488.99</v>
      </c>
      <c r="O670" s="7">
        <f t="shared" si="86"/>
        <v>1488.99</v>
      </c>
      <c r="P670" t="s">
        <v>33</v>
      </c>
      <c r="Q670" s="7" t="str">
        <f t="shared" si="87"/>
        <v>Frequent buyer n</v>
      </c>
    </row>
    <row r="671" spans="1:17">
      <c r="A671">
        <v>1032</v>
      </c>
      <c r="B671" t="s">
        <v>37</v>
      </c>
      <c r="C671" s="9" t="str">
        <f t="shared" si="80"/>
        <v>Akira Tanaka</v>
      </c>
      <c r="D671" s="7" t="str">
        <f t="shared" si="81"/>
        <v>Akira Tanaka</v>
      </c>
      <c r="E671">
        <v>35</v>
      </c>
      <c r="F671" s="7">
        <f t="shared" si="82"/>
        <v>35</v>
      </c>
      <c r="G671" t="s">
        <v>62</v>
      </c>
      <c r="H671" s="7" t="str">
        <f t="shared" si="83"/>
        <v>Ireland</v>
      </c>
      <c r="I671" t="s">
        <v>647</v>
      </c>
      <c r="J671" s="7" t="str">
        <f>TEXT(
  IFERROR(
    DATEVALUE(SUBSTITUTE(SUBSTITUTE(TRIM(I671),"T"," "),"Z","")),
    IFERROR(
      DATE(
        RIGHT(TRIM(I671),4),
        MID(TRIM(I671),4,2),
        LEFT(TRIM(I671),2)
      ),
      DATE(
        VALUE(RIGHT(TRIM(I671),4)),
        MATCH(LEFT(TRIM(I671),FIND(" ",TRIM(I671))-1),
          {"January","February","March","April","May","June","July","August","September","October","November","December"},0),
        VALUE(MID(TRIM(I671),
          FIND(" ",TRIM(I671))+1,
          FIND(" ",TRIM(I671),FIND(" ",TRIM(I671))+1)-FIND(" ",TRIM(I671))-1))
      )
    )
  ),
"yyyy-mm-dd")</f>
        <v>2023-01-06</v>
      </c>
      <c r="K671" s="5" t="str">
        <f t="shared" si="84"/>
        <v>Jan</v>
      </c>
      <c r="L671">
        <v>1691686353</v>
      </c>
      <c r="M671" s="11">
        <f t="shared" si="85"/>
        <v>45148.703159722223</v>
      </c>
      <c r="O671" s="7">
        <f t="shared" si="86"/>
        <v>0</v>
      </c>
      <c r="P671" t="s">
        <v>84</v>
      </c>
      <c r="Q671" s="7" t="str">
        <f t="shared" si="87"/>
        <v xml:space="preserve">Newsletter subscriber </v>
      </c>
    </row>
    <row r="672" spans="1:17">
      <c r="A672">
        <v>1551</v>
      </c>
      <c r="B672" t="s">
        <v>92</v>
      </c>
      <c r="C672" s="9" t="str">
        <f t="shared" si="80"/>
        <v>Zoë Kravitz</v>
      </c>
      <c r="D672" s="7" t="str">
        <f t="shared" si="81"/>
        <v xml:space="preserve"> Zoë Kravitz </v>
      </c>
      <c r="E672">
        <v>59</v>
      </c>
      <c r="F672" s="7">
        <f t="shared" si="82"/>
        <v>59</v>
      </c>
      <c r="G672" t="s">
        <v>18</v>
      </c>
      <c r="H672" s="7" t="str">
        <f t="shared" si="83"/>
        <v>United Kingdom</v>
      </c>
      <c r="I672" t="s">
        <v>648</v>
      </c>
      <c r="J672" s="7" t="str">
        <f>TEXT(
  IFERROR(
    DATEVALUE(SUBSTITUTE(SUBSTITUTE(TRIM(I672),"T"," "),"Z","")),
    IFERROR(
      DATE(
        RIGHT(TRIM(I672),4),
        MID(TRIM(I672),4,2),
        LEFT(TRIM(I672),2)
      ),
      DATE(
        VALUE(RIGHT(TRIM(I672),4)),
        MATCH(LEFT(TRIM(I672),FIND(" ",TRIM(I672))-1),
          {"January","February","March","April","May","June","July","August","September","October","November","December"},0),
        VALUE(MID(TRIM(I672),
          FIND(" ",TRIM(I672))+1,
          FIND(" ",TRIM(I672),FIND(" ",TRIM(I672))+1)-FIND(" ",TRIM(I672))-1))
      )
    )
  ),
"yyyy-mm-dd")</f>
        <v>2023-06-07</v>
      </c>
      <c r="K672" s="5" t="str">
        <f t="shared" si="84"/>
        <v>Jun</v>
      </c>
      <c r="L672">
        <v>1694695979</v>
      </c>
      <c r="M672" s="11">
        <f t="shared" si="85"/>
        <v>45183.536793981482</v>
      </c>
      <c r="O672" s="7">
        <f t="shared" si="86"/>
        <v>0</v>
      </c>
      <c r="P672" t="s">
        <v>33</v>
      </c>
      <c r="Q672" s="7" t="str">
        <f t="shared" si="87"/>
        <v>Frequent buyer n</v>
      </c>
    </row>
    <row r="673" spans="1:17">
      <c r="A673">
        <v>1102</v>
      </c>
      <c r="B673" t="s">
        <v>66</v>
      </c>
      <c r="C673" s="9" t="str">
        <f t="shared" si="80"/>
        <v>Emily Davis</v>
      </c>
      <c r="D673" s="7" t="str">
        <f t="shared" si="81"/>
        <v xml:space="preserve"> Emily Davis </v>
      </c>
      <c r="E673">
        <v>29</v>
      </c>
      <c r="F673" s="7">
        <f t="shared" si="82"/>
        <v>29</v>
      </c>
      <c r="G673" t="s">
        <v>67</v>
      </c>
      <c r="H673" s="7" t="str">
        <f t="shared" si="83"/>
        <v>Sweden</v>
      </c>
      <c r="I673" t="s">
        <v>649</v>
      </c>
      <c r="J673" s="7" t="str">
        <f>TEXT(
  IFERROR(
    DATEVALUE(SUBSTITUTE(SUBSTITUTE(TRIM(I673),"T"," "),"Z","")),
    IFERROR(
      DATE(
        RIGHT(TRIM(I673),4),
        MID(TRIM(I673),4,2),
        LEFT(TRIM(I673),2)
      ),
      DATE(
        VALUE(RIGHT(TRIM(I673),4)),
        MATCH(LEFT(TRIM(I673),FIND(" ",TRIM(I673))-1),
          {"January","February","March","April","May","June","July","August","September","October","November","December"},0),
        VALUE(MID(TRIM(I673),
          FIND(" ",TRIM(I673))+1,
          FIND(" ",TRIM(I673),FIND(" ",TRIM(I673))+1)-FIND(" ",TRIM(I673))-1))
      )
    )
  ),
"yyyy-mm-dd")</f>
        <v>2023-08-14</v>
      </c>
      <c r="K673" s="5" t="str">
        <f t="shared" si="84"/>
        <v>Aug</v>
      </c>
      <c r="L673">
        <v>1683171976</v>
      </c>
      <c r="M673" s="11">
        <f t="shared" si="85"/>
        <v>45050.157129629632</v>
      </c>
      <c r="N673">
        <v>72.510000000000005</v>
      </c>
      <c r="O673" s="7">
        <f t="shared" si="86"/>
        <v>72.510000000000005</v>
      </c>
      <c r="P673" t="s">
        <v>20</v>
      </c>
      <c r="Q673" s="7" t="str">
        <f t="shared" si="87"/>
        <v xml:space="preserve">Great customer </v>
      </c>
    </row>
    <row r="674" spans="1:17">
      <c r="A674">
        <v>1531</v>
      </c>
      <c r="B674" t="s">
        <v>85</v>
      </c>
      <c r="C674" s="9" t="str">
        <f t="shared" si="80"/>
        <v>Akira Tanaka</v>
      </c>
      <c r="D674" s="7" t="str">
        <f t="shared" si="81"/>
        <v xml:space="preserve"> Akira Tanaka </v>
      </c>
      <c r="E674">
        <v>52</v>
      </c>
      <c r="F674" s="7">
        <f t="shared" si="82"/>
        <v>52</v>
      </c>
      <c r="G674" t="s">
        <v>29</v>
      </c>
      <c r="H674" s="7" t="str">
        <f t="shared" si="83"/>
        <v>United States</v>
      </c>
      <c r="I674" t="s">
        <v>650</v>
      </c>
      <c r="J674" s="7" t="str">
        <f>TEXT(
  IFERROR(
    DATEVALUE(SUBSTITUTE(SUBSTITUTE(TRIM(I674),"T"," "),"Z","")),
    IFERROR(
      DATE(
        RIGHT(TRIM(I674),4),
        MID(TRIM(I674),4,2),
        LEFT(TRIM(I674),2)
      ),
      DATE(
        VALUE(RIGHT(TRIM(I674),4)),
        MATCH(LEFT(TRIM(I674),FIND(" ",TRIM(I674))-1),
          {"January","February","March","April","May","June","July","August","September","October","November","December"},0),
        VALUE(MID(TRIM(I674),
          FIND(" ",TRIM(I674))+1,
          FIND(" ",TRIM(I674),FIND(" ",TRIM(I674))+1)-FIND(" ",TRIM(I674))-1))
      )
    )
  ),
"yyyy-mm-dd")</f>
        <v>2023-11-04</v>
      </c>
      <c r="K674" s="5" t="str">
        <f t="shared" si="84"/>
        <v>Nov</v>
      </c>
      <c r="L674">
        <v>1684258979</v>
      </c>
      <c r="M674" s="11">
        <f t="shared" si="85"/>
        <v>45062.738182870366</v>
      </c>
      <c r="O674" s="7">
        <f t="shared" si="86"/>
        <v>0</v>
      </c>
      <c r="P674" t="s">
        <v>52</v>
      </c>
      <c r="Q674" s="7" t="str">
        <f t="shared" si="87"/>
        <v xml:space="preserve">Prefers email </v>
      </c>
    </row>
    <row r="675" spans="1:17">
      <c r="A675">
        <v>1053</v>
      </c>
      <c r="B675" t="s">
        <v>140</v>
      </c>
      <c r="C675" s="9" t="str">
        <f t="shared" si="80"/>
        <v>Anne Müller</v>
      </c>
      <c r="D675" s="7" t="str">
        <f t="shared" si="81"/>
        <v>Anne Müller</v>
      </c>
      <c r="E675">
        <v>50</v>
      </c>
      <c r="F675" s="7">
        <f t="shared" si="82"/>
        <v>50</v>
      </c>
      <c r="G675" t="s">
        <v>67</v>
      </c>
      <c r="H675" s="7" t="str">
        <f t="shared" si="83"/>
        <v>Sweden</v>
      </c>
      <c r="I675" t="s">
        <v>216</v>
      </c>
      <c r="J675" s="7" t="str">
        <f>TEXT(
  IFERROR(
    DATEVALUE(SUBSTITUTE(SUBSTITUTE(TRIM(I675),"T"," "),"Z","")),
    IFERROR(
      DATE(
        RIGHT(TRIM(I675),4),
        MID(TRIM(I675),4,2),
        LEFT(TRIM(I675),2)
      ),
      DATE(
        VALUE(RIGHT(TRIM(I675),4)),
        MATCH(LEFT(TRIM(I675),FIND(" ",TRIM(I675))-1),
          {"January","February","March","April","May","June","July","August","September","October","November","December"},0),
        VALUE(MID(TRIM(I675),
          FIND(" ",TRIM(I675))+1,
          FIND(" ",TRIM(I675),FIND(" ",TRIM(I675))+1)-FIND(" ",TRIM(I675))-1))
      )
    )
  ),
"yyyy-mm-dd")</f>
        <v>2023-10-25</v>
      </c>
      <c r="K675" s="5" t="str">
        <f t="shared" si="84"/>
        <v>Oct</v>
      </c>
      <c r="L675">
        <v>1679733797</v>
      </c>
      <c r="M675" s="11">
        <f t="shared" si="85"/>
        <v>45010.363391203704</v>
      </c>
      <c r="N675">
        <v>574.47</v>
      </c>
      <c r="O675" s="7">
        <f t="shared" si="86"/>
        <v>574.47</v>
      </c>
      <c r="P675" t="s">
        <v>33</v>
      </c>
      <c r="Q675" s="7" t="str">
        <f t="shared" si="87"/>
        <v>Frequent buyer n</v>
      </c>
    </row>
    <row r="676" spans="1:17">
      <c r="A676">
        <v>1781</v>
      </c>
      <c r="B676" t="s">
        <v>82</v>
      </c>
      <c r="C676" s="9" t="str">
        <f t="shared" si="80"/>
        <v>Björn Larsson</v>
      </c>
      <c r="D676" s="7" t="str">
        <f t="shared" si="81"/>
        <v>Björn Larsson</v>
      </c>
      <c r="E676">
        <v>23</v>
      </c>
      <c r="F676" s="7">
        <f t="shared" si="82"/>
        <v>23</v>
      </c>
      <c r="G676" t="s">
        <v>67</v>
      </c>
      <c r="H676" s="7" t="str">
        <f t="shared" si="83"/>
        <v>Sweden</v>
      </c>
      <c r="I676" t="s">
        <v>651</v>
      </c>
      <c r="J676" s="7" t="str">
        <f>TEXT(
  IFERROR(
    DATEVALUE(SUBSTITUTE(SUBSTITUTE(TRIM(I676),"T"," "),"Z","")),
    IFERROR(
      DATE(
        RIGHT(TRIM(I676),4),
        MID(TRIM(I676),4,2),
        LEFT(TRIM(I676),2)
      ),
      DATE(
        VALUE(RIGHT(TRIM(I676),4)),
        MATCH(LEFT(TRIM(I676),FIND(" ",TRIM(I676))-1),
          {"January","February","March","April","May","June","July","August","September","October","November","December"},0),
        VALUE(MID(TRIM(I676),
          FIND(" ",TRIM(I676))+1,
          FIND(" ",TRIM(I676),FIND(" ",TRIM(I676))+1)-FIND(" ",TRIM(I676))-1))
      )
    )
  ),
"yyyy-mm-dd")</f>
        <v>2023-10-22</v>
      </c>
      <c r="K676" s="5" t="str">
        <f t="shared" si="84"/>
        <v>Oct</v>
      </c>
      <c r="L676">
        <v>1697151317</v>
      </c>
      <c r="M676" s="11">
        <f t="shared" si="85"/>
        <v>45211.955057870371</v>
      </c>
      <c r="N676">
        <v>632.94000000000005</v>
      </c>
      <c r="O676" s="7">
        <f t="shared" si="86"/>
        <v>632.94000000000005</v>
      </c>
      <c r="P676" t="s">
        <v>46</v>
      </c>
      <c r="Q676" s="7" t="str">
        <f t="shared" si="87"/>
        <v>Corporate account</v>
      </c>
    </row>
    <row r="677" spans="1:17">
      <c r="A677">
        <v>1164</v>
      </c>
      <c r="B677" t="s">
        <v>90</v>
      </c>
      <c r="C677" s="9" t="str">
        <f t="shared" si="80"/>
        <v>Olivia Wilson</v>
      </c>
      <c r="D677" s="7" t="str">
        <f t="shared" si="81"/>
        <v>Olivia Wilson</v>
      </c>
      <c r="E677">
        <v>41</v>
      </c>
      <c r="F677" s="7">
        <f t="shared" si="82"/>
        <v>41</v>
      </c>
      <c r="G677" t="s">
        <v>60</v>
      </c>
      <c r="H677" s="7" t="str">
        <f t="shared" si="83"/>
        <v>Egypt</v>
      </c>
      <c r="I677" t="s">
        <v>562</v>
      </c>
      <c r="J677" s="7" t="str">
        <f>TEXT(
  IFERROR(
    DATEVALUE(SUBSTITUTE(SUBSTITUTE(TRIM(I677),"T"," "),"Z","")),
    IFERROR(
      DATE(
        RIGHT(TRIM(I677),4),
        MID(TRIM(I677),4,2),
        LEFT(TRIM(I677),2)
      ),
      DATE(
        VALUE(RIGHT(TRIM(I677),4)),
        MATCH(LEFT(TRIM(I677),FIND(" ",TRIM(I677))-1),
          {"January","February","March","April","May","June","July","August","September","October","November","December"},0),
        VALUE(MID(TRIM(I677),
          FIND(" ",TRIM(I677))+1,
          FIND(" ",TRIM(I677),FIND(" ",TRIM(I677))+1)-FIND(" ",TRIM(I677))-1))
      )
    )
  ),
"yyyy-mm-dd")</f>
        <v>2023-11-06</v>
      </c>
      <c r="K677" s="5" t="str">
        <f t="shared" si="84"/>
        <v>Nov</v>
      </c>
      <c r="L677">
        <v>1687588866</v>
      </c>
      <c r="M677" s="11">
        <f t="shared" si="85"/>
        <v>45101.278541666667</v>
      </c>
      <c r="N677">
        <v>1181.5899999999999</v>
      </c>
      <c r="O677" s="7">
        <f t="shared" si="86"/>
        <v>1181.5899999999999</v>
      </c>
      <c r="P677" t="s">
        <v>27</v>
      </c>
      <c r="Q677" s="7" t="str">
        <f t="shared" si="87"/>
        <v xml:space="preserve">Holiday signup </v>
      </c>
    </row>
    <row r="678" spans="1:17">
      <c r="A678">
        <v>1257</v>
      </c>
      <c r="B678" t="s">
        <v>143</v>
      </c>
      <c r="C678" s="9" t="str">
        <f t="shared" si="80"/>
        <v>Chloe Dubois</v>
      </c>
      <c r="D678" s="7" t="str">
        <f t="shared" si="81"/>
        <v xml:space="preserve"> Chloe Dubois </v>
      </c>
      <c r="E678">
        <v>61</v>
      </c>
      <c r="F678" s="7">
        <f t="shared" si="82"/>
        <v>61</v>
      </c>
      <c r="G678" t="s">
        <v>18</v>
      </c>
      <c r="H678" s="7" t="str">
        <f t="shared" si="83"/>
        <v>United Kingdom</v>
      </c>
      <c r="I678" t="s">
        <v>652</v>
      </c>
      <c r="J678" s="7" t="str">
        <f>TEXT(
  IFERROR(
    DATEVALUE(SUBSTITUTE(SUBSTITUTE(TRIM(I678),"T"," "),"Z","")),
    IFERROR(
      DATE(
        RIGHT(TRIM(I678),4),
        MID(TRIM(I678),4,2),
        LEFT(TRIM(I678),2)
      ),
      DATE(
        VALUE(RIGHT(TRIM(I678),4)),
        MATCH(LEFT(TRIM(I678),FIND(" ",TRIM(I678))-1),
          {"January","February","March","April","May","June","July","August","September","October","November","December"},0),
        VALUE(MID(TRIM(I678),
          FIND(" ",TRIM(I678))+1,
          FIND(" ",TRIM(I678),FIND(" ",TRIM(I678))+1)-FIND(" ",TRIM(I678))-1))
      )
    )
  ),
"yyyy-mm-dd")</f>
        <v>2023-07-11</v>
      </c>
      <c r="K678" s="5" t="str">
        <f t="shared" si="84"/>
        <v>Jul</v>
      </c>
      <c r="L678">
        <v>1699228494</v>
      </c>
      <c r="M678" s="11">
        <f t="shared" si="85"/>
        <v>45235.996458333335</v>
      </c>
      <c r="O678" s="7">
        <f t="shared" si="86"/>
        <v>0</v>
      </c>
      <c r="P678" t="s">
        <v>52</v>
      </c>
      <c r="Q678" s="7" t="str">
        <f t="shared" si="87"/>
        <v xml:space="preserve">Prefers email </v>
      </c>
    </row>
    <row r="679" spans="1:17">
      <c r="A679">
        <v>1167</v>
      </c>
      <c r="B679" t="s">
        <v>74</v>
      </c>
      <c r="C679" s="9" t="str">
        <f t="shared" si="80"/>
        <v>Sofia Rossi</v>
      </c>
      <c r="D679" s="7" t="str">
        <f t="shared" si="81"/>
        <v>Sofia Rossi</v>
      </c>
      <c r="F679" s="7">
        <f t="shared" si="82"/>
        <v>43</v>
      </c>
      <c r="G679" t="s">
        <v>22</v>
      </c>
      <c r="H679" s="7" t="str">
        <f t="shared" si="83"/>
        <v>Germany</v>
      </c>
      <c r="I679" t="s">
        <v>653</v>
      </c>
      <c r="J679" s="7" t="str">
        <f>TEXT(
  IFERROR(
    DATEVALUE(SUBSTITUTE(SUBSTITUTE(TRIM(I679),"T"," "),"Z","")),
    IFERROR(
      DATE(
        RIGHT(TRIM(I679),4),
        MID(TRIM(I679),4,2),
        LEFT(TRIM(I679),2)
      ),
      DATE(
        VALUE(RIGHT(TRIM(I679),4)),
        MATCH(LEFT(TRIM(I679),FIND(" ",TRIM(I679))-1),
          {"January","February","March","April","May","June","July","August","September","October","November","December"},0),
        VALUE(MID(TRIM(I679),
          FIND(" ",TRIM(I679))+1,
          FIND(" ",TRIM(I679),FIND(" ",TRIM(I679))+1)-FIND(" ",TRIM(I679))-1))
      )
    )
  ),
"yyyy-mm-dd")</f>
        <v>2023-04-03</v>
      </c>
      <c r="K679" s="5" t="str">
        <f t="shared" si="84"/>
        <v>Apr</v>
      </c>
      <c r="L679">
        <v>1673044504</v>
      </c>
      <c r="M679" s="11">
        <f t="shared" si="85"/>
        <v>44932.941018518519</v>
      </c>
      <c r="O679" s="7">
        <f t="shared" si="86"/>
        <v>0</v>
      </c>
      <c r="P679" t="s">
        <v>58</v>
      </c>
      <c r="Q679" s="7" t="str">
        <f t="shared" si="87"/>
        <v>Student account</v>
      </c>
    </row>
    <row r="680" spans="1:17">
      <c r="A680">
        <v>1082</v>
      </c>
      <c r="B680" t="s">
        <v>148</v>
      </c>
      <c r="C680" s="9" t="str">
        <f t="shared" si="80"/>
        <v>Chloe Dubois</v>
      </c>
      <c r="D680" s="7" t="str">
        <f t="shared" si="81"/>
        <v>Chloe Dubois</v>
      </c>
      <c r="F680" s="7">
        <f t="shared" si="82"/>
        <v>43</v>
      </c>
      <c r="G680" t="s">
        <v>29</v>
      </c>
      <c r="H680" s="7" t="str">
        <f t="shared" si="83"/>
        <v>United States</v>
      </c>
      <c r="I680" t="s">
        <v>392</v>
      </c>
      <c r="J680" s="7" t="str">
        <f>TEXT(
  IFERROR(
    DATEVALUE(SUBSTITUTE(SUBSTITUTE(TRIM(I680),"T"," "),"Z","")),
    IFERROR(
      DATE(
        RIGHT(TRIM(I680),4),
        MID(TRIM(I680),4,2),
        LEFT(TRIM(I680),2)
      ),
      DATE(
        VALUE(RIGHT(TRIM(I680),4)),
        MATCH(LEFT(TRIM(I680),FIND(" ",TRIM(I680))-1),
          {"January","February","March","April","May","June","July","August","September","October","November","December"},0),
        VALUE(MID(TRIM(I680),
          FIND(" ",TRIM(I680))+1,
          FIND(" ",TRIM(I680),FIND(" ",TRIM(I680))+1)-FIND(" ",TRIM(I680))-1))
      )
    )
  ),
"yyyy-mm-dd")</f>
        <v>2023-07-09</v>
      </c>
      <c r="K680" s="5" t="str">
        <f t="shared" si="84"/>
        <v>Jul</v>
      </c>
      <c r="L680">
        <v>1681980897</v>
      </c>
      <c r="M680" s="11">
        <f t="shared" si="85"/>
        <v>45036.371493055558</v>
      </c>
      <c r="O680" s="7">
        <f t="shared" si="86"/>
        <v>0</v>
      </c>
      <c r="P680" t="s">
        <v>36</v>
      </c>
      <c r="Q680" s="7" t="str">
        <f t="shared" si="87"/>
        <v>Regular shopper</v>
      </c>
    </row>
    <row r="681" spans="1:17">
      <c r="A681">
        <v>2067</v>
      </c>
      <c r="B681" t="s">
        <v>56</v>
      </c>
      <c r="C681" s="9" t="str">
        <f t="shared" si="80"/>
        <v>Carlos García</v>
      </c>
      <c r="D681" s="7" t="str">
        <f t="shared" si="81"/>
        <v>Carlos García</v>
      </c>
      <c r="E681">
        <v>25</v>
      </c>
      <c r="F681" s="7">
        <f t="shared" si="82"/>
        <v>25</v>
      </c>
      <c r="G681" t="s">
        <v>18</v>
      </c>
      <c r="H681" s="7" t="str">
        <f t="shared" si="83"/>
        <v>United Kingdom</v>
      </c>
      <c r="I681" t="s">
        <v>654</v>
      </c>
      <c r="J681" s="7" t="str">
        <f>TEXT(
  IFERROR(
    DATEVALUE(SUBSTITUTE(SUBSTITUTE(TRIM(I681),"T"," "),"Z","")),
    IFERROR(
      DATE(
        RIGHT(TRIM(I681),4),
        MID(TRIM(I681),4,2),
        LEFT(TRIM(I681),2)
      ),
      DATE(
        VALUE(RIGHT(TRIM(I681),4)),
        MATCH(LEFT(TRIM(I681),FIND(" ",TRIM(I681))-1),
          {"January","February","March","April","May","June","July","August","September","October","November","December"},0),
        VALUE(MID(TRIM(I681),
          FIND(" ",TRIM(I681))+1,
          FIND(" ",TRIM(I681),FIND(" ",TRIM(I681))+1)-FIND(" ",TRIM(I681))-1))
      )
    )
  ),
"yyyy-mm-dd")</f>
        <v>2023-08-16</v>
      </c>
      <c r="K681" s="5" t="str">
        <f t="shared" si="84"/>
        <v>Aug</v>
      </c>
      <c r="L681">
        <v>1689074909</v>
      </c>
      <c r="M681" s="11">
        <f t="shared" si="85"/>
        <v>45118.478113425925</v>
      </c>
      <c r="N681">
        <v>401.95</v>
      </c>
      <c r="O681" s="7">
        <f t="shared" si="86"/>
        <v>401.95</v>
      </c>
      <c r="P681" t="s">
        <v>58</v>
      </c>
      <c r="Q681" s="7" t="str">
        <f t="shared" si="87"/>
        <v>Student account</v>
      </c>
    </row>
    <row r="682" spans="1:17">
      <c r="A682">
        <v>1270</v>
      </c>
      <c r="B682" t="s">
        <v>104</v>
      </c>
      <c r="C682" s="9" t="str">
        <f t="shared" si="80"/>
        <v>David Brown</v>
      </c>
      <c r="D682" s="7" t="str">
        <f t="shared" si="81"/>
        <v>David Brown</v>
      </c>
      <c r="E682">
        <v>51</v>
      </c>
      <c r="F682" s="7">
        <f t="shared" si="82"/>
        <v>51</v>
      </c>
      <c r="G682" t="s">
        <v>22</v>
      </c>
      <c r="H682" s="7" t="str">
        <f t="shared" si="83"/>
        <v>Germany</v>
      </c>
      <c r="I682" t="s">
        <v>655</v>
      </c>
      <c r="J682" s="7" t="str">
        <f>TEXT(
  IFERROR(
    DATEVALUE(SUBSTITUTE(SUBSTITUTE(TRIM(I682),"T"," "),"Z","")),
    IFERROR(
      DATE(
        RIGHT(TRIM(I682),4),
        MID(TRIM(I682),4,2),
        LEFT(TRIM(I682),2)
      ),
      DATE(
        VALUE(RIGHT(TRIM(I682),4)),
        MATCH(LEFT(TRIM(I682),FIND(" ",TRIM(I682))-1),
          {"January","February","March","April","May","June","July","August","September","October","November","December"},0),
        VALUE(MID(TRIM(I682),
          FIND(" ",TRIM(I682))+1,
          FIND(" ",TRIM(I682),FIND(" ",TRIM(I682))+1)-FIND(" ",TRIM(I682))-1))
      )
    )
  ),
"yyyy-mm-dd")</f>
        <v>2023-01-02</v>
      </c>
      <c r="K682" s="5" t="str">
        <f t="shared" si="84"/>
        <v>Jan</v>
      </c>
      <c r="L682">
        <v>1674780913</v>
      </c>
      <c r="M682" s="11">
        <f t="shared" si="85"/>
        <v>44953.038344907407</v>
      </c>
      <c r="N682">
        <v>741.13</v>
      </c>
      <c r="O682" s="7">
        <f t="shared" si="86"/>
        <v>741.13</v>
      </c>
      <c r="P682" t="s">
        <v>33</v>
      </c>
      <c r="Q682" s="7" t="str">
        <f t="shared" si="87"/>
        <v>Frequent buyer n</v>
      </c>
    </row>
    <row r="683" spans="1:17">
      <c r="A683">
        <v>1080</v>
      </c>
      <c r="B683" t="s">
        <v>74</v>
      </c>
      <c r="C683" s="9" t="str">
        <f t="shared" si="80"/>
        <v>Sofia Rossi</v>
      </c>
      <c r="D683" s="7" t="str">
        <f t="shared" si="81"/>
        <v>Sofia Rossi</v>
      </c>
      <c r="E683">
        <v>42</v>
      </c>
      <c r="F683" s="7">
        <f t="shared" si="82"/>
        <v>42</v>
      </c>
      <c r="G683" t="s">
        <v>38</v>
      </c>
      <c r="H683" s="7" t="str">
        <f t="shared" si="83"/>
        <v>Spain</v>
      </c>
      <c r="I683" t="s">
        <v>656</v>
      </c>
      <c r="J683" s="7" t="str">
        <f>TEXT(
  IFERROR(
    DATEVALUE(SUBSTITUTE(SUBSTITUTE(TRIM(I683),"T"," "),"Z","")),
    IFERROR(
      DATE(
        RIGHT(TRIM(I683),4),
        MID(TRIM(I683),4,2),
        LEFT(TRIM(I683),2)
      ),
      DATE(
        VALUE(RIGHT(TRIM(I683),4)),
        MATCH(LEFT(TRIM(I683),FIND(" ",TRIM(I683))-1),
          {"January","February","March","April","May","June","July","August","September","October","November","December"},0),
        VALUE(MID(TRIM(I683),
          FIND(" ",TRIM(I683))+1,
          FIND(" ",TRIM(I683),FIND(" ",TRIM(I683))+1)-FIND(" ",TRIM(I683))-1))
      )
    )
  ),
"yyyy-mm-dd")</f>
        <v>2023-11-23</v>
      </c>
      <c r="K683" s="5" t="str">
        <f t="shared" si="84"/>
        <v>Nov</v>
      </c>
      <c r="L683">
        <v>1688772165</v>
      </c>
      <c r="M683" s="11">
        <f t="shared" si="85"/>
        <v>45114.974131944444</v>
      </c>
      <c r="N683">
        <v>800.39</v>
      </c>
      <c r="O683" s="7">
        <f t="shared" si="86"/>
        <v>800.39</v>
      </c>
      <c r="P683" t="s">
        <v>58</v>
      </c>
      <c r="Q683" s="7" t="str">
        <f t="shared" si="87"/>
        <v>Student account</v>
      </c>
    </row>
    <row r="684" spans="1:17">
      <c r="A684">
        <v>1991</v>
      </c>
      <c r="B684" t="s">
        <v>131</v>
      </c>
      <c r="C684" s="9" t="str">
        <f t="shared" si="80"/>
        <v>Isabella Martinez</v>
      </c>
      <c r="D684" s="7" t="str">
        <f t="shared" si="81"/>
        <v>Isabella Martinez</v>
      </c>
      <c r="E684">
        <v>61</v>
      </c>
      <c r="F684" s="7">
        <f t="shared" si="82"/>
        <v>61</v>
      </c>
      <c r="G684" t="s">
        <v>102</v>
      </c>
      <c r="H684" s="7" t="str">
        <f t="shared" si="83"/>
        <v>Mexico</v>
      </c>
      <c r="I684" t="s">
        <v>334</v>
      </c>
      <c r="J684" s="7" t="str">
        <f>TEXT(
  IFERROR(
    DATEVALUE(SUBSTITUTE(SUBSTITUTE(TRIM(I684),"T"," "),"Z","")),
    IFERROR(
      DATE(
        RIGHT(TRIM(I684),4),
        MID(TRIM(I684),4,2),
        LEFT(TRIM(I684),2)
      ),
      DATE(
        VALUE(RIGHT(TRIM(I684),4)),
        MATCH(LEFT(TRIM(I684),FIND(" ",TRIM(I684))-1),
          {"January","February","March","April","May","June","July","August","September","October","November","December"},0),
        VALUE(MID(TRIM(I684),
          FIND(" ",TRIM(I684))+1,
          FIND(" ",TRIM(I684),FIND(" ",TRIM(I684))+1)-FIND(" ",TRIM(I684))-1))
      )
    )
  ),
"yyyy-mm-dd")</f>
        <v>2023-05-18</v>
      </c>
      <c r="K684" s="5" t="str">
        <f t="shared" si="84"/>
        <v>May</v>
      </c>
      <c r="L684">
        <v>1679741765</v>
      </c>
      <c r="M684" s="11">
        <f t="shared" si="85"/>
        <v>45010.455613425926</v>
      </c>
      <c r="O684" s="7">
        <f t="shared" si="86"/>
        <v>0</v>
      </c>
      <c r="P684" t="s">
        <v>20</v>
      </c>
      <c r="Q684" s="7" t="str">
        <f t="shared" si="87"/>
        <v xml:space="preserve">Great customer </v>
      </c>
    </row>
    <row r="685" spans="1:17">
      <c r="A685">
        <v>1995</v>
      </c>
      <c r="B685" t="s">
        <v>187</v>
      </c>
      <c r="C685" s="9" t="str">
        <f t="shared" si="80"/>
        <v>André Santos</v>
      </c>
      <c r="D685" s="7" t="str">
        <f t="shared" si="81"/>
        <v xml:space="preserve"> André Santos </v>
      </c>
      <c r="F685" s="7">
        <f t="shared" si="82"/>
        <v>43</v>
      </c>
      <c r="G685" t="s">
        <v>111</v>
      </c>
      <c r="H685" s="7" t="str">
        <f t="shared" si="83"/>
        <v>South Korea</v>
      </c>
      <c r="I685" t="s">
        <v>657</v>
      </c>
      <c r="J685" s="7" t="str">
        <f>TEXT(
  IFERROR(
    DATEVALUE(SUBSTITUTE(SUBSTITUTE(TRIM(I685),"T"," "),"Z","")),
    IFERROR(
      DATE(
        RIGHT(TRIM(I685),4),
        MID(TRIM(I685),4,2),
        LEFT(TRIM(I685),2)
      ),
      DATE(
        VALUE(RIGHT(TRIM(I685),4)),
        MATCH(LEFT(TRIM(I685),FIND(" ",TRIM(I685))-1),
          {"January","February","March","April","May","June","July","August","September","October","November","December"},0),
        VALUE(MID(TRIM(I685),
          FIND(" ",TRIM(I685))+1,
          FIND(" ",TRIM(I685),FIND(" ",TRIM(I685))+1)-FIND(" ",TRIM(I685))-1))
      )
    )
  ),
"yyyy-mm-dd")</f>
        <v>2023-07-29</v>
      </c>
      <c r="K685" s="5" t="str">
        <f t="shared" si="84"/>
        <v>Jul</v>
      </c>
      <c r="L685">
        <v>1691734103</v>
      </c>
      <c r="M685" s="11">
        <f t="shared" si="85"/>
        <v>45149.25582175926</v>
      </c>
      <c r="N685">
        <v>1314.68</v>
      </c>
      <c r="O685" s="7">
        <f t="shared" si="86"/>
        <v>1314.68</v>
      </c>
      <c r="P685" t="s">
        <v>52</v>
      </c>
      <c r="Q685" s="7" t="str">
        <f t="shared" si="87"/>
        <v xml:space="preserve">Prefers email </v>
      </c>
    </row>
    <row r="686" spans="1:17">
      <c r="A686">
        <v>1676</v>
      </c>
      <c r="B686" t="s">
        <v>56</v>
      </c>
      <c r="C686" s="9" t="str">
        <f t="shared" si="80"/>
        <v>Carlos García</v>
      </c>
      <c r="D686" s="7" t="str">
        <f t="shared" si="81"/>
        <v>Carlos García</v>
      </c>
      <c r="E686">
        <v>19</v>
      </c>
      <c r="F686" s="7">
        <f t="shared" si="82"/>
        <v>19</v>
      </c>
      <c r="G686" t="s">
        <v>116</v>
      </c>
      <c r="H686" s="7" t="str">
        <f t="shared" si="83"/>
        <v>China</v>
      </c>
      <c r="I686" t="s">
        <v>169</v>
      </c>
      <c r="J686" s="7" t="str">
        <f>TEXT(
  IFERROR(
    DATEVALUE(SUBSTITUTE(SUBSTITUTE(TRIM(I686),"T"," "),"Z","")),
    IFERROR(
      DATE(
        RIGHT(TRIM(I686),4),
        MID(TRIM(I686),4,2),
        LEFT(TRIM(I686),2)
      ),
      DATE(
        VALUE(RIGHT(TRIM(I686),4)),
        MATCH(LEFT(TRIM(I686),FIND(" ",TRIM(I686))-1),
          {"January","February","March","April","May","June","July","August","September","October","November","December"},0),
        VALUE(MID(TRIM(I686),
          FIND(" ",TRIM(I686))+1,
          FIND(" ",TRIM(I686),FIND(" ",TRIM(I686))+1)-FIND(" ",TRIM(I686))-1))
      )
    )
  ),
"yyyy-mm-dd")</f>
        <v>2023-02-16</v>
      </c>
      <c r="K686" s="5" t="str">
        <f t="shared" si="84"/>
        <v>Feb</v>
      </c>
      <c r="L686">
        <v>1703133311</v>
      </c>
      <c r="M686" s="11">
        <f t="shared" si="85"/>
        <v>45281.191099537042</v>
      </c>
      <c r="N686">
        <v>535.52</v>
      </c>
      <c r="O686" s="7">
        <f t="shared" si="86"/>
        <v>535.52</v>
      </c>
      <c r="P686" t="s">
        <v>20</v>
      </c>
      <c r="Q686" s="7" t="str">
        <f t="shared" si="87"/>
        <v xml:space="preserve">Great customer </v>
      </c>
    </row>
    <row r="687" spans="1:17">
      <c r="A687">
        <v>1322</v>
      </c>
      <c r="B687" t="s">
        <v>107</v>
      </c>
      <c r="C687" s="9" t="str">
        <f t="shared" si="80"/>
        <v>Fatima Ali</v>
      </c>
      <c r="D687" s="7" t="str">
        <f t="shared" si="81"/>
        <v>Fatima Ali</v>
      </c>
      <c r="E687">
        <v>58</v>
      </c>
      <c r="F687" s="7">
        <f t="shared" si="82"/>
        <v>58</v>
      </c>
      <c r="G687" t="s">
        <v>38</v>
      </c>
      <c r="H687" s="7" t="str">
        <f t="shared" si="83"/>
        <v>Spain</v>
      </c>
      <c r="I687" t="s">
        <v>434</v>
      </c>
      <c r="J687" s="7" t="str">
        <f>TEXT(
  IFERROR(
    DATEVALUE(SUBSTITUTE(SUBSTITUTE(TRIM(I687),"T"," "),"Z","")),
    IFERROR(
      DATE(
        RIGHT(TRIM(I687),4),
        MID(TRIM(I687),4,2),
        LEFT(TRIM(I687),2)
      ),
      DATE(
        VALUE(RIGHT(TRIM(I687),4)),
        MATCH(LEFT(TRIM(I687),FIND(" ",TRIM(I687))-1),
          {"January","February","March","April","May","June","July","August","September","October","November","December"},0),
        VALUE(MID(TRIM(I687),
          FIND(" ",TRIM(I687))+1,
          FIND(" ",TRIM(I687),FIND(" ",TRIM(I687))+1)-FIND(" ",TRIM(I687))-1))
      )
    )
  ),
"yyyy-mm-dd")</f>
        <v>2023-01-18</v>
      </c>
      <c r="K687" s="5" t="str">
        <f t="shared" si="84"/>
        <v>Jan</v>
      </c>
      <c r="L687">
        <v>1697686985</v>
      </c>
      <c r="M687" s="11">
        <f t="shared" si="85"/>
        <v>45218.154918981483</v>
      </c>
      <c r="O687" s="7">
        <f t="shared" si="86"/>
        <v>0</v>
      </c>
      <c r="P687" t="s">
        <v>118</v>
      </c>
      <c r="Q687" s="7" t="str">
        <f t="shared" si="87"/>
        <v>High engagement</v>
      </c>
    </row>
    <row r="688" spans="1:17">
      <c r="A688">
        <v>1802</v>
      </c>
      <c r="B688" t="s">
        <v>104</v>
      </c>
      <c r="C688" s="9" t="str">
        <f t="shared" si="80"/>
        <v>David Brown</v>
      </c>
      <c r="D688" s="7" t="str">
        <f t="shared" si="81"/>
        <v>David Brown</v>
      </c>
      <c r="F688" s="7">
        <f t="shared" si="82"/>
        <v>43</v>
      </c>
      <c r="G688" t="s">
        <v>67</v>
      </c>
      <c r="H688" s="7" t="str">
        <f t="shared" si="83"/>
        <v>Sweden</v>
      </c>
      <c r="I688" t="s">
        <v>262</v>
      </c>
      <c r="J688" s="7" t="str">
        <f>TEXT(
  IFERROR(
    DATEVALUE(SUBSTITUTE(SUBSTITUTE(TRIM(I688),"T"," "),"Z","")),
    IFERROR(
      DATE(
        RIGHT(TRIM(I688),4),
        MID(TRIM(I688),4,2),
        LEFT(TRIM(I688),2)
      ),
      DATE(
        VALUE(RIGHT(TRIM(I688),4)),
        MATCH(LEFT(TRIM(I688),FIND(" ",TRIM(I688))-1),
          {"January","February","March","April","May","June","July","August","September","October","November","December"},0),
        VALUE(MID(TRIM(I688),
          FIND(" ",TRIM(I688))+1,
          FIND(" ",TRIM(I688),FIND(" ",TRIM(I688))+1)-FIND(" ",TRIM(I688))-1))
      )
    )
  ),
"yyyy-mm-dd")</f>
        <v>2023-12-01</v>
      </c>
      <c r="K688" s="5" t="str">
        <f t="shared" si="84"/>
        <v>Dec</v>
      </c>
      <c r="L688">
        <v>1681719583</v>
      </c>
      <c r="M688" s="11">
        <f t="shared" si="85"/>
        <v>45033.347025462965</v>
      </c>
      <c r="N688">
        <v>693.77</v>
      </c>
      <c r="O688" s="7">
        <f t="shared" si="86"/>
        <v>693.77</v>
      </c>
      <c r="P688" t="s">
        <v>58</v>
      </c>
      <c r="Q688" s="7" t="str">
        <f t="shared" si="87"/>
        <v>Student account</v>
      </c>
    </row>
    <row r="689" spans="1:17">
      <c r="A689">
        <v>1036</v>
      </c>
      <c r="B689" t="s">
        <v>131</v>
      </c>
      <c r="C689" s="9" t="str">
        <f t="shared" si="80"/>
        <v>Isabella Martinez</v>
      </c>
      <c r="D689" s="7" t="str">
        <f t="shared" si="81"/>
        <v>Isabella Martinez</v>
      </c>
      <c r="E689">
        <v>52</v>
      </c>
      <c r="F689" s="7">
        <f t="shared" si="82"/>
        <v>52</v>
      </c>
      <c r="G689" t="s">
        <v>18</v>
      </c>
      <c r="H689" s="7" t="str">
        <f t="shared" si="83"/>
        <v>United Kingdom</v>
      </c>
      <c r="I689" t="s">
        <v>186</v>
      </c>
      <c r="J689" s="7" t="str">
        <f>TEXT(
  IFERROR(
    DATEVALUE(SUBSTITUTE(SUBSTITUTE(TRIM(I689),"T"," "),"Z","")),
    IFERROR(
      DATE(
        RIGHT(TRIM(I689),4),
        MID(TRIM(I689),4,2),
        LEFT(TRIM(I689),2)
      ),
      DATE(
        VALUE(RIGHT(TRIM(I689),4)),
        MATCH(LEFT(TRIM(I689),FIND(" ",TRIM(I689))-1),
          {"January","February","March","April","May","June","July","August","September","October","November","December"},0),
        VALUE(MID(TRIM(I689),
          FIND(" ",TRIM(I689))+1,
          FIND(" ",TRIM(I689),FIND(" ",TRIM(I689))+1)-FIND(" ",TRIM(I689))-1))
      )
    )
  ),
"yyyy-mm-dd")</f>
        <v>2023-08-20</v>
      </c>
      <c r="K689" s="5" t="str">
        <f t="shared" si="84"/>
        <v>Aug</v>
      </c>
      <c r="L689">
        <v>1691914417</v>
      </c>
      <c r="M689" s="11">
        <f t="shared" si="85"/>
        <v>45151.342789351853</v>
      </c>
      <c r="O689" s="7">
        <f t="shared" si="86"/>
        <v>0</v>
      </c>
      <c r="P689" t="s">
        <v>40</v>
      </c>
      <c r="Q689" s="7" t="str">
        <f t="shared" si="87"/>
        <v xml:space="preserve">VIP client </v>
      </c>
    </row>
    <row r="690" spans="1:17">
      <c r="A690">
        <v>1916</v>
      </c>
      <c r="B690" t="s">
        <v>90</v>
      </c>
      <c r="C690" s="9" t="str">
        <f t="shared" si="80"/>
        <v>Olivia Wilson</v>
      </c>
      <c r="D690" s="7" t="str">
        <f t="shared" si="81"/>
        <v>Olivia Wilson</v>
      </c>
      <c r="F690" s="7">
        <f t="shared" si="82"/>
        <v>43</v>
      </c>
      <c r="G690" t="s">
        <v>25</v>
      </c>
      <c r="H690" s="7" t="str">
        <f t="shared" si="83"/>
        <v>Japan</v>
      </c>
      <c r="I690" t="s">
        <v>658</v>
      </c>
      <c r="J690" s="7" t="str">
        <f>TEXT(
  IFERROR(
    DATEVALUE(SUBSTITUTE(SUBSTITUTE(TRIM(I690),"T"," "),"Z","")),
    IFERROR(
      DATE(
        RIGHT(TRIM(I690),4),
        MID(TRIM(I690),4,2),
        LEFT(TRIM(I690),2)
      ),
      DATE(
        VALUE(RIGHT(TRIM(I690),4)),
        MATCH(LEFT(TRIM(I690),FIND(" ",TRIM(I690))-1),
          {"January","February","March","April","May","June","July","August","September","October","November","December"},0),
        VALUE(MID(TRIM(I690),
          FIND(" ",TRIM(I690))+1,
          FIND(" ",TRIM(I690),FIND(" ",TRIM(I690))+1)-FIND(" ",TRIM(I690))-1))
      )
    )
  ),
"yyyy-mm-dd")</f>
        <v>2023-03-15</v>
      </c>
      <c r="K690" s="5" t="str">
        <f t="shared" si="84"/>
        <v>Mar</v>
      </c>
      <c r="L690">
        <v>1675724724</v>
      </c>
      <c r="M690" s="11">
        <f t="shared" si="85"/>
        <v>44963.962083333332</v>
      </c>
      <c r="N690">
        <v>845.72</v>
      </c>
      <c r="O690" s="7">
        <f t="shared" si="86"/>
        <v>845.72</v>
      </c>
      <c r="P690" t="s">
        <v>36</v>
      </c>
      <c r="Q690" s="7" t="str">
        <f t="shared" si="87"/>
        <v>Regular shopper</v>
      </c>
    </row>
    <row r="691" spans="1:17">
      <c r="A691">
        <v>1075</v>
      </c>
      <c r="B691" t="s">
        <v>41</v>
      </c>
      <c r="C691" s="9" t="str">
        <f t="shared" si="80"/>
        <v>Lucas Silva</v>
      </c>
      <c r="D691" s="7" t="str">
        <f t="shared" si="81"/>
        <v>Lucas Silva</v>
      </c>
      <c r="E691">
        <v>56</v>
      </c>
      <c r="F691" s="7">
        <f t="shared" si="82"/>
        <v>56</v>
      </c>
      <c r="G691" t="s">
        <v>54</v>
      </c>
      <c r="H691" s="7" t="str">
        <f t="shared" si="83"/>
        <v>Brazil</v>
      </c>
      <c r="I691" t="s">
        <v>63</v>
      </c>
      <c r="J691" s="7" t="str">
        <f>TEXT(
  IFERROR(
    DATEVALUE(SUBSTITUTE(SUBSTITUTE(TRIM(I691),"T"," "),"Z","")),
    IFERROR(
      DATE(
        RIGHT(TRIM(I691),4),
        MID(TRIM(I691),4,2),
        LEFT(TRIM(I691),2)
      ),
      DATE(
        VALUE(RIGHT(TRIM(I691),4)),
        MATCH(LEFT(TRIM(I691),FIND(" ",TRIM(I691))-1),
          {"January","February","March","April","May","June","July","August","September","October","November","December"},0),
        VALUE(MID(TRIM(I691),
          FIND(" ",TRIM(I691))+1,
          FIND(" ",TRIM(I691),FIND(" ",TRIM(I691))+1)-FIND(" ",TRIM(I691))-1))
      )
    )
  ),
"yyyy-mm-dd")</f>
        <v>2023-12-20</v>
      </c>
      <c r="K691" s="5" t="str">
        <f t="shared" si="84"/>
        <v>Dec</v>
      </c>
      <c r="L691">
        <v>1697858868</v>
      </c>
      <c r="M691" s="11">
        <f t="shared" si="85"/>
        <v>45220.144305555557</v>
      </c>
      <c r="O691" s="7">
        <f t="shared" si="86"/>
        <v>0</v>
      </c>
      <c r="P691" t="s">
        <v>46</v>
      </c>
      <c r="Q691" s="7" t="str">
        <f t="shared" si="87"/>
        <v>Corporate account</v>
      </c>
    </row>
    <row r="692" spans="1:17">
      <c r="A692">
        <v>2024</v>
      </c>
      <c r="B692" t="s">
        <v>41</v>
      </c>
      <c r="C692" s="9" t="str">
        <f t="shared" si="80"/>
        <v>Lucas Silva</v>
      </c>
      <c r="D692" s="7" t="str">
        <f t="shared" si="81"/>
        <v>Lucas Silva</v>
      </c>
      <c r="F692" s="7">
        <f t="shared" si="82"/>
        <v>43</v>
      </c>
      <c r="G692" t="s">
        <v>60</v>
      </c>
      <c r="H692" s="7" t="str">
        <f t="shared" si="83"/>
        <v>Egypt</v>
      </c>
      <c r="I692" t="s">
        <v>659</v>
      </c>
      <c r="J692" s="7" t="str">
        <f>TEXT(
  IFERROR(
    DATEVALUE(SUBSTITUTE(SUBSTITUTE(TRIM(I692),"T"," "),"Z","")),
    IFERROR(
      DATE(
        RIGHT(TRIM(I692),4),
        MID(TRIM(I692),4,2),
        LEFT(TRIM(I692),2)
      ),
      DATE(
        VALUE(RIGHT(TRIM(I692),4)),
        MATCH(LEFT(TRIM(I692),FIND(" ",TRIM(I692))-1),
          {"January","February","March","April","May","June","July","August","September","October","November","December"},0),
        VALUE(MID(TRIM(I692),
          FIND(" ",TRIM(I692))+1,
          FIND(" ",TRIM(I692),FIND(" ",TRIM(I692))+1)-FIND(" ",TRIM(I692))-1))
      )
    )
  ),
"yyyy-mm-dd")</f>
        <v>2023-09-21</v>
      </c>
      <c r="K692" s="5" t="str">
        <f t="shared" si="84"/>
        <v>Sep</v>
      </c>
      <c r="L692">
        <v>1701335610</v>
      </c>
      <c r="M692" s="11">
        <f t="shared" si="85"/>
        <v>45260.384375000001</v>
      </c>
      <c r="N692">
        <v>1112.1300000000001</v>
      </c>
      <c r="O692" s="7">
        <f t="shared" si="86"/>
        <v>1112.1300000000001</v>
      </c>
      <c r="P692" t="s">
        <v>52</v>
      </c>
      <c r="Q692" s="7" t="str">
        <f t="shared" si="87"/>
        <v xml:space="preserve">Prefers email </v>
      </c>
    </row>
    <row r="693" spans="1:17">
      <c r="A693">
        <v>1872</v>
      </c>
      <c r="B693" t="s">
        <v>31</v>
      </c>
      <c r="C693" s="9" t="str">
        <f t="shared" si="80"/>
        <v>Renée Dupont</v>
      </c>
      <c r="D693" s="7" t="str">
        <f t="shared" si="81"/>
        <v xml:space="preserve"> Renée Dupont </v>
      </c>
      <c r="E693">
        <v>26</v>
      </c>
      <c r="F693" s="7">
        <f t="shared" si="82"/>
        <v>26</v>
      </c>
      <c r="G693" t="s">
        <v>67</v>
      </c>
      <c r="H693" s="7" t="str">
        <f t="shared" si="83"/>
        <v>Sweden</v>
      </c>
      <c r="I693" t="s">
        <v>660</v>
      </c>
      <c r="J693" s="7" t="str">
        <f>TEXT(
  IFERROR(
    DATEVALUE(SUBSTITUTE(SUBSTITUTE(TRIM(I693),"T"," "),"Z","")),
    IFERROR(
      DATE(
        RIGHT(TRIM(I693),4),
        MID(TRIM(I693),4,2),
        LEFT(TRIM(I693),2)
      ),
      DATE(
        VALUE(RIGHT(TRIM(I693),4)),
        MATCH(LEFT(TRIM(I693),FIND(" ",TRIM(I693))-1),
          {"January","February","March","April","May","June","July","August","September","October","November","December"},0),
        VALUE(MID(TRIM(I693),
          FIND(" ",TRIM(I693))+1,
          FIND(" ",TRIM(I693),FIND(" ",TRIM(I693))+1)-FIND(" ",TRIM(I693))-1))
      )
    )
  ),
"yyyy-mm-dd")</f>
        <v>2023-03-04</v>
      </c>
      <c r="K693" s="5" t="str">
        <f t="shared" si="84"/>
        <v>Mar</v>
      </c>
      <c r="L693">
        <v>1679146558</v>
      </c>
      <c r="M693" s="11">
        <f t="shared" si="85"/>
        <v>45003.566643518519</v>
      </c>
      <c r="N693">
        <v>662.03</v>
      </c>
      <c r="O693" s="7">
        <f t="shared" si="86"/>
        <v>662.03</v>
      </c>
      <c r="P693" t="s">
        <v>20</v>
      </c>
      <c r="Q693" s="7" t="str">
        <f t="shared" si="87"/>
        <v xml:space="preserve">Great customer </v>
      </c>
    </row>
    <row r="694" spans="1:17">
      <c r="A694">
        <v>1515</v>
      </c>
      <c r="B694" t="s">
        <v>131</v>
      </c>
      <c r="C694" s="9" t="str">
        <f t="shared" si="80"/>
        <v>Isabella Martinez</v>
      </c>
      <c r="D694" s="7" t="str">
        <f t="shared" si="81"/>
        <v>Isabella Martinez</v>
      </c>
      <c r="E694">
        <v>65</v>
      </c>
      <c r="F694" s="7">
        <f t="shared" si="82"/>
        <v>65</v>
      </c>
      <c r="G694" t="s">
        <v>18</v>
      </c>
      <c r="H694" s="7" t="str">
        <f t="shared" si="83"/>
        <v>United Kingdom</v>
      </c>
      <c r="I694" t="s">
        <v>661</v>
      </c>
      <c r="J694" s="7" t="str">
        <f>TEXT(
  IFERROR(
    DATEVALUE(SUBSTITUTE(SUBSTITUTE(TRIM(I694),"T"," "),"Z","")),
    IFERROR(
      DATE(
        RIGHT(TRIM(I694),4),
        MID(TRIM(I694),4,2),
        LEFT(TRIM(I694),2)
      ),
      DATE(
        VALUE(RIGHT(TRIM(I694),4)),
        MATCH(LEFT(TRIM(I694),FIND(" ",TRIM(I694))-1),
          {"January","February","March","April","May","June","July","August","September","October","November","December"},0),
        VALUE(MID(TRIM(I694),
          FIND(" ",TRIM(I694))+1,
          FIND(" ",TRIM(I694),FIND(" ",TRIM(I694))+1)-FIND(" ",TRIM(I694))-1))
      )
    )
  ),
"yyyy-mm-dd")</f>
        <v>2023-03-26</v>
      </c>
      <c r="K694" s="5" t="str">
        <f t="shared" si="84"/>
        <v>Mar</v>
      </c>
      <c r="L694">
        <v>1696518151</v>
      </c>
      <c r="M694" s="11">
        <f t="shared" si="85"/>
        <v>45204.626747685186</v>
      </c>
      <c r="N694">
        <v>1245.82</v>
      </c>
      <c r="O694" s="7">
        <f t="shared" si="86"/>
        <v>1245.82</v>
      </c>
      <c r="P694" t="s">
        <v>84</v>
      </c>
      <c r="Q694" s="7" t="str">
        <f t="shared" si="87"/>
        <v xml:space="preserve">Newsletter subscriber </v>
      </c>
    </row>
    <row r="695" spans="1:17">
      <c r="A695">
        <v>1853</v>
      </c>
      <c r="B695" t="s">
        <v>120</v>
      </c>
      <c r="C695" s="9" t="str">
        <f t="shared" si="80"/>
        <v>Sarah Johnson</v>
      </c>
      <c r="D695" s="7" t="str">
        <f t="shared" si="81"/>
        <v xml:space="preserve"> Sarah Johnson </v>
      </c>
      <c r="F695" s="7">
        <f t="shared" si="82"/>
        <v>43</v>
      </c>
      <c r="G695" t="s">
        <v>22</v>
      </c>
      <c r="H695" s="7" t="str">
        <f t="shared" si="83"/>
        <v>Germany</v>
      </c>
      <c r="I695" t="s">
        <v>332</v>
      </c>
      <c r="J695" s="7" t="str">
        <f>TEXT(
  IFERROR(
    DATEVALUE(SUBSTITUTE(SUBSTITUTE(TRIM(I695),"T"," "),"Z","")),
    IFERROR(
      DATE(
        RIGHT(TRIM(I695),4),
        MID(TRIM(I695),4,2),
        LEFT(TRIM(I695),2)
      ),
      DATE(
        VALUE(RIGHT(TRIM(I695),4)),
        MATCH(LEFT(TRIM(I695),FIND(" ",TRIM(I695))-1),
          {"January","February","March","April","May","June","July","August","September","October","November","December"},0),
        VALUE(MID(TRIM(I695),
          FIND(" ",TRIM(I695))+1,
          FIND(" ",TRIM(I695),FIND(" ",TRIM(I695))+1)-FIND(" ",TRIM(I695))-1))
      )
    )
  ),
"yyyy-mm-dd")</f>
        <v>2023-04-13</v>
      </c>
      <c r="K695" s="5" t="str">
        <f t="shared" si="84"/>
        <v>Apr</v>
      </c>
      <c r="L695">
        <v>1690567274</v>
      </c>
      <c r="M695" s="11">
        <f t="shared" si="85"/>
        <v>45135.750856481478</v>
      </c>
      <c r="N695">
        <v>693.3</v>
      </c>
      <c r="O695" s="7">
        <f t="shared" si="86"/>
        <v>693.3</v>
      </c>
      <c r="P695" t="s">
        <v>20</v>
      </c>
      <c r="Q695" s="7" t="str">
        <f t="shared" si="87"/>
        <v xml:space="preserve">Great customer </v>
      </c>
    </row>
    <row r="696" spans="1:17">
      <c r="A696">
        <v>1960</v>
      </c>
      <c r="B696" t="s">
        <v>78</v>
      </c>
      <c r="C696" s="9" t="str">
        <f t="shared" si="80"/>
        <v>Mia Thompson</v>
      </c>
      <c r="D696" s="7" t="str">
        <f t="shared" si="81"/>
        <v xml:space="preserve"> Mia Thompson </v>
      </c>
      <c r="E696">
        <v>58</v>
      </c>
      <c r="F696" s="7">
        <f t="shared" si="82"/>
        <v>58</v>
      </c>
      <c r="G696" t="s">
        <v>38</v>
      </c>
      <c r="H696" s="7" t="str">
        <f t="shared" si="83"/>
        <v>Spain</v>
      </c>
      <c r="I696" t="s">
        <v>662</v>
      </c>
      <c r="J696" s="7" t="str">
        <f>TEXT(
  IFERROR(
    DATEVALUE(SUBSTITUTE(SUBSTITUTE(TRIM(I696),"T"," "),"Z","")),
    IFERROR(
      DATE(
        RIGHT(TRIM(I696),4),
        MID(TRIM(I696),4,2),
        LEFT(TRIM(I696),2)
      ),
      DATE(
        VALUE(RIGHT(TRIM(I696),4)),
        MATCH(LEFT(TRIM(I696),FIND(" ",TRIM(I696))-1),
          {"January","February","March","April","May","June","July","August","September","October","November","December"},0),
        VALUE(MID(TRIM(I696),
          FIND(" ",TRIM(I696))+1,
          FIND(" ",TRIM(I696),FIND(" ",TRIM(I696))+1)-FIND(" ",TRIM(I696))-1))
      )
    )
  ),
"yyyy-mm-dd")</f>
        <v>2023-06-26</v>
      </c>
      <c r="K696" s="5" t="str">
        <f t="shared" si="84"/>
        <v>Jun</v>
      </c>
      <c r="L696">
        <v>1703658469</v>
      </c>
      <c r="M696" s="11">
        <f t="shared" si="85"/>
        <v>45287.269317129627</v>
      </c>
      <c r="O696" s="7">
        <f t="shared" si="86"/>
        <v>0</v>
      </c>
      <c r="P696" t="s">
        <v>118</v>
      </c>
      <c r="Q696" s="7" t="str">
        <f t="shared" si="87"/>
        <v>High engagement</v>
      </c>
    </row>
    <row r="697" spans="1:17">
      <c r="A697">
        <v>1107</v>
      </c>
      <c r="B697" t="s">
        <v>56</v>
      </c>
      <c r="C697" s="9" t="str">
        <f t="shared" si="80"/>
        <v>Carlos García</v>
      </c>
      <c r="D697" s="7" t="str">
        <f t="shared" si="81"/>
        <v>Carlos García</v>
      </c>
      <c r="E697">
        <v>45</v>
      </c>
      <c r="F697" s="7">
        <f t="shared" si="82"/>
        <v>45</v>
      </c>
      <c r="G697" t="s">
        <v>60</v>
      </c>
      <c r="H697" s="7" t="str">
        <f t="shared" si="83"/>
        <v>Egypt</v>
      </c>
      <c r="I697" t="s">
        <v>121</v>
      </c>
      <c r="J697" s="7" t="str">
        <f>TEXT(
  IFERROR(
    DATEVALUE(SUBSTITUTE(SUBSTITUTE(TRIM(I697),"T"," "),"Z","")),
    IFERROR(
      DATE(
        RIGHT(TRIM(I697),4),
        MID(TRIM(I697),4,2),
        LEFT(TRIM(I697),2)
      ),
      DATE(
        VALUE(RIGHT(TRIM(I697),4)),
        MATCH(LEFT(TRIM(I697),FIND(" ",TRIM(I697))-1),
          {"January","February","March","April","May","June","July","August","September","October","November","December"},0),
        VALUE(MID(TRIM(I697),
          FIND(" ",TRIM(I697))+1,
          FIND(" ",TRIM(I697),FIND(" ",TRIM(I697))+1)-FIND(" ",TRIM(I697))-1))
      )
    )
  ),
"yyyy-mm-dd")</f>
        <v>2023-06-17</v>
      </c>
      <c r="K697" s="5" t="str">
        <f t="shared" si="84"/>
        <v>Jun</v>
      </c>
      <c r="L697">
        <v>1689313802</v>
      </c>
      <c r="M697" s="11">
        <f t="shared" si="85"/>
        <v>45121.243078703701</v>
      </c>
      <c r="N697">
        <v>1142.4100000000001</v>
      </c>
      <c r="O697" s="7">
        <f t="shared" si="86"/>
        <v>1142.4100000000001</v>
      </c>
      <c r="P697" t="s">
        <v>46</v>
      </c>
      <c r="Q697" s="7" t="str">
        <f t="shared" si="87"/>
        <v>Corporate account</v>
      </c>
    </row>
    <row r="698" spans="1:17">
      <c r="A698">
        <v>1569</v>
      </c>
      <c r="B698" t="s">
        <v>31</v>
      </c>
      <c r="C698" s="9" t="str">
        <f t="shared" si="80"/>
        <v>Renée Dupont</v>
      </c>
      <c r="D698" s="7" t="str">
        <f t="shared" si="81"/>
        <v xml:space="preserve"> Renée Dupont </v>
      </c>
      <c r="F698" s="7">
        <f t="shared" si="82"/>
        <v>43</v>
      </c>
      <c r="G698" t="s">
        <v>60</v>
      </c>
      <c r="H698" s="7" t="str">
        <f t="shared" si="83"/>
        <v>Egypt</v>
      </c>
      <c r="I698" t="s">
        <v>663</v>
      </c>
      <c r="J698" s="7" t="str">
        <f>TEXT(
  IFERROR(
    DATEVALUE(SUBSTITUTE(SUBSTITUTE(TRIM(I698),"T"," "),"Z","")),
    IFERROR(
      DATE(
        RIGHT(TRIM(I698),4),
        MID(TRIM(I698),4,2),
        LEFT(TRIM(I698),2)
      ),
      DATE(
        VALUE(RIGHT(TRIM(I698),4)),
        MATCH(LEFT(TRIM(I698),FIND(" ",TRIM(I698))-1),
          {"January","February","March","April","May","June","July","August","September","October","November","December"},0),
        VALUE(MID(TRIM(I698),
          FIND(" ",TRIM(I698))+1,
          FIND(" ",TRIM(I698),FIND(" ",TRIM(I698))+1)-FIND(" ",TRIM(I698))-1))
      )
    )
  ),
"yyyy-mm-dd")</f>
        <v>2023-12-22</v>
      </c>
      <c r="K698" s="5" t="str">
        <f t="shared" si="84"/>
        <v>Dec</v>
      </c>
      <c r="L698">
        <v>1695521120</v>
      </c>
      <c r="M698" s="11">
        <f t="shared" si="85"/>
        <v>45193.087037037039</v>
      </c>
      <c r="O698" s="7">
        <f t="shared" si="86"/>
        <v>0</v>
      </c>
      <c r="P698" t="s">
        <v>84</v>
      </c>
      <c r="Q698" s="7" t="str">
        <f t="shared" si="87"/>
        <v xml:space="preserve">Newsletter subscriber </v>
      </c>
    </row>
    <row r="699" spans="1:17">
      <c r="A699">
        <v>1365</v>
      </c>
      <c r="B699" t="s">
        <v>17</v>
      </c>
      <c r="C699" s="9" t="str">
        <f t="shared" si="80"/>
        <v>John Smith</v>
      </c>
      <c r="D699" s="7" t="str">
        <f t="shared" si="81"/>
        <v>John Smith</v>
      </c>
      <c r="F699" s="7">
        <f t="shared" si="82"/>
        <v>43</v>
      </c>
      <c r="G699" t="s">
        <v>44</v>
      </c>
      <c r="H699" s="7" t="str">
        <f t="shared" si="83"/>
        <v>UAE</v>
      </c>
      <c r="I699" t="s">
        <v>664</v>
      </c>
      <c r="J699" s="7" t="str">
        <f>TEXT(
  IFERROR(
    DATEVALUE(SUBSTITUTE(SUBSTITUTE(TRIM(I699),"T"," "),"Z","")),
    IFERROR(
      DATE(
        RIGHT(TRIM(I699),4),
        MID(TRIM(I699),4,2),
        LEFT(TRIM(I699),2)
      ),
      DATE(
        VALUE(RIGHT(TRIM(I699),4)),
        MATCH(LEFT(TRIM(I699),FIND(" ",TRIM(I699))-1),
          {"January","February","March","April","May","June","July","August","September","October","November","December"},0),
        VALUE(MID(TRIM(I699),
          FIND(" ",TRIM(I699))+1,
          FIND(" ",TRIM(I699),FIND(" ",TRIM(I699))+1)-FIND(" ",TRIM(I699))-1))
      )
    )
  ),
"yyyy-mm-dd")</f>
        <v>2023-04-20</v>
      </c>
      <c r="K699" s="5" t="str">
        <f t="shared" si="84"/>
        <v>Apr</v>
      </c>
      <c r="L699">
        <v>1691307570</v>
      </c>
      <c r="M699" s="11">
        <f t="shared" si="85"/>
        <v>45144.319097222222</v>
      </c>
      <c r="N699">
        <v>1315.68</v>
      </c>
      <c r="O699" s="7">
        <f t="shared" si="86"/>
        <v>1315.68</v>
      </c>
      <c r="P699" t="s">
        <v>118</v>
      </c>
      <c r="Q699" s="7" t="str">
        <f t="shared" si="87"/>
        <v>High engagement</v>
      </c>
    </row>
    <row r="700" spans="1:17">
      <c r="A700">
        <v>1767</v>
      </c>
      <c r="B700" t="s">
        <v>124</v>
      </c>
      <c r="C700" s="9" t="str">
        <f t="shared" si="80"/>
        <v>Sarah Johnson</v>
      </c>
      <c r="D700" s="7" t="str">
        <f t="shared" si="81"/>
        <v>Sarah Johnson</v>
      </c>
      <c r="F700" s="7">
        <f t="shared" si="82"/>
        <v>43</v>
      </c>
      <c r="G700" t="s">
        <v>122</v>
      </c>
      <c r="H700" s="7" t="str">
        <f t="shared" si="83"/>
        <v>Italy</v>
      </c>
      <c r="I700" t="s">
        <v>665</v>
      </c>
      <c r="J700" s="7" t="str">
        <f>TEXT(
  IFERROR(
    DATEVALUE(SUBSTITUTE(SUBSTITUTE(TRIM(I700),"T"," "),"Z","")),
    IFERROR(
      DATE(
        RIGHT(TRIM(I700),4),
        MID(TRIM(I700),4,2),
        LEFT(TRIM(I700),2)
      ),
      DATE(
        VALUE(RIGHT(TRIM(I700),4)),
        MATCH(LEFT(TRIM(I700),FIND(" ",TRIM(I700))-1),
          {"January","February","March","April","May","June","July","August","September","October","November","December"},0),
        VALUE(MID(TRIM(I700),
          FIND(" ",TRIM(I700))+1,
          FIND(" ",TRIM(I700),FIND(" ",TRIM(I700))+1)-FIND(" ",TRIM(I700))-1))
      )
    )
  ),
"yyyy-mm-dd")</f>
        <v>2023-09-27</v>
      </c>
      <c r="K700" s="5" t="str">
        <f t="shared" si="84"/>
        <v>Sep</v>
      </c>
      <c r="L700">
        <v>1672712392</v>
      </c>
      <c r="M700" s="11">
        <f t="shared" si="85"/>
        <v>44929.097129629634</v>
      </c>
      <c r="O700" s="7">
        <f t="shared" si="86"/>
        <v>0</v>
      </c>
      <c r="P700" t="s">
        <v>52</v>
      </c>
      <c r="Q700" s="7" t="str">
        <f t="shared" si="87"/>
        <v xml:space="preserve">Prefers email </v>
      </c>
    </row>
    <row r="701" spans="1:17">
      <c r="A701">
        <v>1751</v>
      </c>
      <c r="B701" t="s">
        <v>50</v>
      </c>
      <c r="C701" s="9" t="str">
        <f t="shared" si="80"/>
        <v>Ahmed Hassan</v>
      </c>
      <c r="D701" s="7" t="str">
        <f t="shared" si="81"/>
        <v xml:space="preserve"> Ahmed Hassan </v>
      </c>
      <c r="F701" s="7">
        <f t="shared" si="82"/>
        <v>43</v>
      </c>
      <c r="G701" t="s">
        <v>29</v>
      </c>
      <c r="H701" s="7" t="str">
        <f t="shared" si="83"/>
        <v>United States</v>
      </c>
      <c r="I701" t="s">
        <v>666</v>
      </c>
      <c r="J701" s="7" t="str">
        <f>TEXT(
  IFERROR(
    DATEVALUE(SUBSTITUTE(SUBSTITUTE(TRIM(I701),"T"," "),"Z","")),
    IFERROR(
      DATE(
        RIGHT(TRIM(I701),4),
        MID(TRIM(I701),4,2),
        LEFT(TRIM(I701),2)
      ),
      DATE(
        VALUE(RIGHT(TRIM(I701),4)),
        MATCH(LEFT(TRIM(I701),FIND(" ",TRIM(I701))-1),
          {"January","February","March","April","May","June","July","August","September","October","November","December"},0),
        VALUE(MID(TRIM(I701),
          FIND(" ",TRIM(I701))+1,
          FIND(" ",TRIM(I701),FIND(" ",TRIM(I701))+1)-FIND(" ",TRIM(I701))-1))
      )
    )
  ),
"yyyy-mm-dd")</f>
        <v>2023-02-03</v>
      </c>
      <c r="K701" s="5" t="str">
        <f t="shared" si="84"/>
        <v>Feb</v>
      </c>
      <c r="L701">
        <v>1700208001</v>
      </c>
      <c r="M701" s="11">
        <f t="shared" si="85"/>
        <v>45247.333344907413</v>
      </c>
      <c r="N701">
        <v>1144.33</v>
      </c>
      <c r="O701" s="7">
        <f t="shared" si="86"/>
        <v>1144.33</v>
      </c>
      <c r="P701" t="s">
        <v>58</v>
      </c>
      <c r="Q701" s="7" t="str">
        <f t="shared" si="87"/>
        <v>Student account</v>
      </c>
    </row>
    <row r="702" spans="1:17">
      <c r="A702">
        <v>1561</v>
      </c>
      <c r="B702" t="s">
        <v>148</v>
      </c>
      <c r="C702" s="9" t="str">
        <f t="shared" si="80"/>
        <v>Chloe Dubois</v>
      </c>
      <c r="D702" s="7" t="str">
        <f t="shared" si="81"/>
        <v>Chloe Dubois</v>
      </c>
      <c r="E702">
        <v>47</v>
      </c>
      <c r="F702" s="7">
        <f t="shared" si="82"/>
        <v>47</v>
      </c>
      <c r="G702" t="s">
        <v>29</v>
      </c>
      <c r="H702" s="7" t="str">
        <f t="shared" si="83"/>
        <v>United States</v>
      </c>
      <c r="I702" t="s">
        <v>300</v>
      </c>
      <c r="J702" s="7" t="str">
        <f>TEXT(
  IFERROR(
    DATEVALUE(SUBSTITUTE(SUBSTITUTE(TRIM(I702),"T"," "),"Z","")),
    IFERROR(
      DATE(
        RIGHT(TRIM(I702),4),
        MID(TRIM(I702),4,2),
        LEFT(TRIM(I702),2)
      ),
      DATE(
        VALUE(RIGHT(TRIM(I702),4)),
        MATCH(LEFT(TRIM(I702),FIND(" ",TRIM(I702))-1),
          {"January","February","March","April","May","June","July","August","September","October","November","December"},0),
        VALUE(MID(TRIM(I702),
          FIND(" ",TRIM(I702))+1,
          FIND(" ",TRIM(I702),FIND(" ",TRIM(I702))+1)-FIND(" ",TRIM(I702))-1))
      )
    )
  ),
"yyyy-mm-dd")</f>
        <v>2023-10-17</v>
      </c>
      <c r="K702" s="5" t="str">
        <f t="shared" si="84"/>
        <v>Oct</v>
      </c>
      <c r="L702">
        <v>1675482224</v>
      </c>
      <c r="M702" s="11">
        <f t="shared" si="85"/>
        <v>44961.155370370368</v>
      </c>
      <c r="N702">
        <v>183.23</v>
      </c>
      <c r="O702" s="7">
        <f t="shared" si="86"/>
        <v>183.23</v>
      </c>
      <c r="P702" t="s">
        <v>33</v>
      </c>
      <c r="Q702" s="7" t="str">
        <f t="shared" si="87"/>
        <v>Frequent buyer n</v>
      </c>
    </row>
    <row r="703" spans="1:17">
      <c r="A703">
        <v>1177</v>
      </c>
      <c r="B703" t="s">
        <v>124</v>
      </c>
      <c r="C703" s="9" t="str">
        <f t="shared" si="80"/>
        <v>Sarah Johnson</v>
      </c>
      <c r="D703" s="7" t="str">
        <f t="shared" si="81"/>
        <v>Sarah Johnson</v>
      </c>
      <c r="E703">
        <v>58</v>
      </c>
      <c r="F703" s="7">
        <f t="shared" si="82"/>
        <v>58</v>
      </c>
      <c r="G703" t="s">
        <v>29</v>
      </c>
      <c r="H703" s="7" t="str">
        <f t="shared" si="83"/>
        <v>United States</v>
      </c>
      <c r="I703" t="s">
        <v>667</v>
      </c>
      <c r="J703" s="7" t="str">
        <f>TEXT(
  IFERROR(
    DATEVALUE(SUBSTITUTE(SUBSTITUTE(TRIM(I703),"T"," "),"Z","")),
    IFERROR(
      DATE(
        RIGHT(TRIM(I703),4),
        MID(TRIM(I703),4,2),
        LEFT(TRIM(I703),2)
      ),
      DATE(
        VALUE(RIGHT(TRIM(I703),4)),
        MATCH(LEFT(TRIM(I703),FIND(" ",TRIM(I703))-1),
          {"January","February","March","April","May","June","July","August","September","October","November","December"},0),
        VALUE(MID(TRIM(I703),
          FIND(" ",TRIM(I703))+1,
          FIND(" ",TRIM(I703),FIND(" ",TRIM(I703))+1)-FIND(" ",TRIM(I703))-1))
      )
    )
  ),
"yyyy-mm-dd")</f>
        <v>2023-04-22</v>
      </c>
      <c r="K703" s="5" t="str">
        <f t="shared" si="84"/>
        <v>Apr</v>
      </c>
      <c r="L703">
        <v>1687970752</v>
      </c>
      <c r="M703" s="11">
        <f t="shared" si="85"/>
        <v>45105.698518518519</v>
      </c>
      <c r="N703">
        <v>131.1</v>
      </c>
      <c r="O703" s="7">
        <f t="shared" si="86"/>
        <v>131.1</v>
      </c>
      <c r="P703" t="s">
        <v>58</v>
      </c>
      <c r="Q703" s="7" t="str">
        <f t="shared" si="87"/>
        <v>Student account</v>
      </c>
    </row>
    <row r="704" spans="1:17">
      <c r="A704">
        <v>1392</v>
      </c>
      <c r="B704" t="s">
        <v>88</v>
      </c>
      <c r="C704" s="9" t="str">
        <f t="shared" si="80"/>
        <v>André Santos</v>
      </c>
      <c r="D704" s="7" t="str">
        <f t="shared" si="81"/>
        <v>André Santos</v>
      </c>
      <c r="E704">
        <v>26</v>
      </c>
      <c r="F704" s="7">
        <f t="shared" si="82"/>
        <v>26</v>
      </c>
      <c r="G704" t="s">
        <v>116</v>
      </c>
      <c r="H704" s="7" t="str">
        <f t="shared" si="83"/>
        <v>China</v>
      </c>
      <c r="I704" t="s">
        <v>460</v>
      </c>
      <c r="J704" s="7" t="str">
        <f>TEXT(
  IFERROR(
    DATEVALUE(SUBSTITUTE(SUBSTITUTE(TRIM(I704),"T"," "),"Z","")),
    IFERROR(
      DATE(
        RIGHT(TRIM(I704),4),
        MID(TRIM(I704),4,2),
        LEFT(TRIM(I704),2)
      ),
      DATE(
        VALUE(RIGHT(TRIM(I704),4)),
        MATCH(LEFT(TRIM(I704),FIND(" ",TRIM(I704))-1),
          {"January","February","March","April","May","June","July","August","September","October","November","December"},0),
        VALUE(MID(TRIM(I704),
          FIND(" ",TRIM(I704))+1,
          FIND(" ",TRIM(I704),FIND(" ",TRIM(I704))+1)-FIND(" ",TRIM(I704))-1))
      )
    )
  ),
"yyyy-mm-dd")</f>
        <v>2023-12-28</v>
      </c>
      <c r="K704" s="5" t="str">
        <f t="shared" si="84"/>
        <v>Dec</v>
      </c>
      <c r="L704">
        <v>1678496824</v>
      </c>
      <c r="M704" s="11">
        <f t="shared" si="85"/>
        <v>44996.046574074076</v>
      </c>
      <c r="O704" s="7">
        <f t="shared" si="86"/>
        <v>0</v>
      </c>
      <c r="P704" t="s">
        <v>118</v>
      </c>
      <c r="Q704" s="7" t="str">
        <f t="shared" si="87"/>
        <v>High engagement</v>
      </c>
    </row>
    <row r="705" spans="1:17">
      <c r="A705">
        <v>1447</v>
      </c>
      <c r="B705" t="s">
        <v>64</v>
      </c>
      <c r="C705" s="9" t="str">
        <f t="shared" si="80"/>
        <v>Ethan Clark</v>
      </c>
      <c r="D705" s="7" t="str">
        <f t="shared" si="81"/>
        <v xml:space="preserve"> Ethan Clark </v>
      </c>
      <c r="E705">
        <v>51</v>
      </c>
      <c r="F705" s="7">
        <f t="shared" si="82"/>
        <v>51</v>
      </c>
      <c r="G705" t="s">
        <v>48</v>
      </c>
      <c r="H705" s="7" t="str">
        <f t="shared" si="83"/>
        <v>France</v>
      </c>
      <c r="I705" t="s">
        <v>668</v>
      </c>
      <c r="J705" s="7" t="str">
        <f>TEXT(
  IFERROR(
    DATEVALUE(SUBSTITUTE(SUBSTITUTE(TRIM(I705),"T"," "),"Z","")),
    IFERROR(
      DATE(
        RIGHT(TRIM(I705),4),
        MID(TRIM(I705),4,2),
        LEFT(TRIM(I705),2)
      ),
      DATE(
        VALUE(RIGHT(TRIM(I705),4)),
        MATCH(LEFT(TRIM(I705),FIND(" ",TRIM(I705))-1),
          {"January","February","March","April","May","June","July","August","September","October","November","December"},0),
        VALUE(MID(TRIM(I705),
          FIND(" ",TRIM(I705))+1,
          FIND(" ",TRIM(I705),FIND(" ",TRIM(I705))+1)-FIND(" ",TRIM(I705))-1))
      )
    )
  ),
"yyyy-mm-dd")</f>
        <v>2023-09-01</v>
      </c>
      <c r="K705" s="5" t="str">
        <f t="shared" si="84"/>
        <v>Sep</v>
      </c>
      <c r="L705">
        <v>1688202203</v>
      </c>
      <c r="M705" s="11">
        <f t="shared" si="85"/>
        <v>45108.377349537041</v>
      </c>
      <c r="O705" s="7">
        <f t="shared" si="86"/>
        <v>0</v>
      </c>
      <c r="P705" t="s">
        <v>27</v>
      </c>
      <c r="Q705" s="7" t="str">
        <f t="shared" si="87"/>
        <v xml:space="preserve">Holiday signup </v>
      </c>
    </row>
    <row r="706" spans="1:17">
      <c r="A706">
        <v>1935</v>
      </c>
      <c r="B706" t="s">
        <v>166</v>
      </c>
      <c r="C706" s="9" t="str">
        <f t="shared" si="80"/>
        <v>Daniel Kim</v>
      </c>
      <c r="D706" s="7" t="str">
        <f t="shared" si="81"/>
        <v>Daniel Kim</v>
      </c>
      <c r="F706" s="7">
        <f t="shared" si="82"/>
        <v>43</v>
      </c>
      <c r="G706" t="s">
        <v>60</v>
      </c>
      <c r="H706" s="7" t="str">
        <f t="shared" si="83"/>
        <v>Egypt</v>
      </c>
      <c r="I706" t="s">
        <v>669</v>
      </c>
      <c r="J706" s="7" t="str">
        <f>TEXT(
  IFERROR(
    DATEVALUE(SUBSTITUTE(SUBSTITUTE(TRIM(I706),"T"," "),"Z","")),
    IFERROR(
      DATE(
        RIGHT(TRIM(I706),4),
        MID(TRIM(I706),4,2),
        LEFT(TRIM(I706),2)
      ),
      DATE(
        VALUE(RIGHT(TRIM(I706),4)),
        MATCH(LEFT(TRIM(I706),FIND(" ",TRIM(I706))-1),
          {"January","February","March","April","May","June","July","August","September","October","November","December"},0),
        VALUE(MID(TRIM(I706),
          FIND(" ",TRIM(I706))+1,
          FIND(" ",TRIM(I706),FIND(" ",TRIM(I706))+1)-FIND(" ",TRIM(I706))-1))
      )
    )
  ),
"yyyy-mm-dd")</f>
        <v>2023-05-05</v>
      </c>
      <c r="K706" s="5" t="str">
        <f t="shared" si="84"/>
        <v>May</v>
      </c>
      <c r="L706">
        <v>1696796351</v>
      </c>
      <c r="M706" s="11">
        <f t="shared" si="85"/>
        <v>45207.846655092595</v>
      </c>
      <c r="O706" s="7">
        <f t="shared" si="86"/>
        <v>0</v>
      </c>
      <c r="P706" t="s">
        <v>36</v>
      </c>
      <c r="Q706" s="7" t="str">
        <f t="shared" si="87"/>
        <v>Regular shopper</v>
      </c>
    </row>
    <row r="707" spans="1:17">
      <c r="A707">
        <v>1822</v>
      </c>
      <c r="B707" t="s">
        <v>240</v>
      </c>
      <c r="C707" s="9" t="str">
        <f t="shared" ref="C707:C770" si="88">TRIM(B707)</f>
        <v>Fatima Ali</v>
      </c>
      <c r="D707" s="7" t="str">
        <f t="shared" ref="D707:D770" si="89">PROPER(B707)</f>
        <v xml:space="preserve"> Fatima Ali </v>
      </c>
      <c r="E707">
        <v>32</v>
      </c>
      <c r="F707" s="7">
        <f t="shared" ref="F707:F770" si="90">IF(OR(E707="", ISBLANK(E707)), MEDIAN($E$2:$E$1501), E707)</f>
        <v>32</v>
      </c>
      <c r="G707" t="s">
        <v>44</v>
      </c>
      <c r="H707" s="7" t="str">
        <f t="shared" ref="H707:H770" si="91">TRIM(G707)</f>
        <v>UAE</v>
      </c>
      <c r="I707" t="s">
        <v>483</v>
      </c>
      <c r="J707" s="7" t="str">
        <f>TEXT(
  IFERROR(
    DATEVALUE(SUBSTITUTE(SUBSTITUTE(TRIM(I707),"T"," "),"Z","")),
    IFERROR(
      DATE(
        RIGHT(TRIM(I707),4),
        MID(TRIM(I707),4,2),
        LEFT(TRIM(I707),2)
      ),
      DATE(
        VALUE(RIGHT(TRIM(I707),4)),
        MATCH(LEFT(TRIM(I707),FIND(" ",TRIM(I707))-1),
          {"January","February","March","April","May","June","July","August","September","October","November","December"},0),
        VALUE(MID(TRIM(I707),
          FIND(" ",TRIM(I707))+1,
          FIND(" ",TRIM(I707),FIND(" ",TRIM(I707))+1)-FIND(" ",TRIM(I707))-1))
      )
    )
  ),
"yyyy-mm-dd")</f>
        <v>2023-07-08</v>
      </c>
      <c r="K707" s="5" t="str">
        <f t="shared" ref="K707:K770" si="92">TEXT(J707,"mmm")</f>
        <v>Jul</v>
      </c>
      <c r="L707">
        <v>1691901281</v>
      </c>
      <c r="M707" s="11">
        <f t="shared" ref="M707:M770" si="93">((L707)/86400)+DATE(1970,1,1)</f>
        <v>45151.190752314811</v>
      </c>
      <c r="N707">
        <v>607.12</v>
      </c>
      <c r="O707" s="7">
        <f t="shared" ref="O707:O770" si="94">IF(N707="", 0, N707)</f>
        <v>607.12</v>
      </c>
      <c r="P707" t="s">
        <v>33</v>
      </c>
      <c r="Q707" s="7" t="str">
        <f t="shared" ref="Q707:Q770" si="95">SUBSTITUTE(SUBSTITUTE(SUBSTITUTE(P707,"$",""),"%",""),"ñ","n")</f>
        <v>Frequent buyer n</v>
      </c>
    </row>
    <row r="708" spans="1:17">
      <c r="A708">
        <v>2049</v>
      </c>
      <c r="B708" t="s">
        <v>124</v>
      </c>
      <c r="C708" s="9" t="str">
        <f t="shared" si="88"/>
        <v>Sarah Johnson</v>
      </c>
      <c r="D708" s="7" t="str">
        <f t="shared" si="89"/>
        <v>Sarah Johnson</v>
      </c>
      <c r="E708">
        <v>62</v>
      </c>
      <c r="F708" s="7">
        <f t="shared" si="90"/>
        <v>62</v>
      </c>
      <c r="G708" t="s">
        <v>22</v>
      </c>
      <c r="H708" s="7" t="str">
        <f t="shared" si="91"/>
        <v>Germany</v>
      </c>
      <c r="I708" t="s">
        <v>670</v>
      </c>
      <c r="J708" s="7" t="str">
        <f>TEXT(
  IFERROR(
    DATEVALUE(SUBSTITUTE(SUBSTITUTE(TRIM(I708),"T"," "),"Z","")),
    IFERROR(
      DATE(
        RIGHT(TRIM(I708),4),
        MID(TRIM(I708),4,2),
        LEFT(TRIM(I708),2)
      ),
      DATE(
        VALUE(RIGHT(TRIM(I708),4)),
        MATCH(LEFT(TRIM(I708),FIND(" ",TRIM(I708))-1),
          {"January","February","March","April","May","June","July","August","September","October","November","December"},0),
        VALUE(MID(TRIM(I708),
          FIND(" ",TRIM(I708))+1,
          FIND(" ",TRIM(I708),FIND(" ",TRIM(I708))+1)-FIND(" ",TRIM(I708))-1))
      )
    )
  ),
"yyyy-mm-dd")</f>
        <v>2023-10-18</v>
      </c>
      <c r="K708" s="5" t="str">
        <f t="shared" si="92"/>
        <v>Oct</v>
      </c>
      <c r="L708">
        <v>1676882412</v>
      </c>
      <c r="M708" s="11">
        <f t="shared" si="93"/>
        <v>44977.361250000002</v>
      </c>
      <c r="N708">
        <v>998.48</v>
      </c>
      <c r="O708" s="7">
        <f t="shared" si="94"/>
        <v>998.48</v>
      </c>
      <c r="P708" t="s">
        <v>52</v>
      </c>
      <c r="Q708" s="7" t="str">
        <f t="shared" si="95"/>
        <v xml:space="preserve">Prefers email </v>
      </c>
    </row>
    <row r="709" spans="1:17">
      <c r="A709">
        <v>1634</v>
      </c>
      <c r="B709" t="s">
        <v>97</v>
      </c>
      <c r="C709" s="9" t="str">
        <f t="shared" si="88"/>
        <v>Björn Larsson</v>
      </c>
      <c r="D709" s="7" t="str">
        <f t="shared" si="89"/>
        <v xml:space="preserve"> Björn Larsson </v>
      </c>
      <c r="F709" s="7">
        <f t="shared" si="90"/>
        <v>43</v>
      </c>
      <c r="G709" t="s">
        <v>48</v>
      </c>
      <c r="H709" s="7" t="str">
        <f t="shared" si="91"/>
        <v>France</v>
      </c>
      <c r="I709" t="s">
        <v>671</v>
      </c>
      <c r="J709" s="7" t="str">
        <f>TEXT(
  IFERROR(
    DATEVALUE(SUBSTITUTE(SUBSTITUTE(TRIM(I709),"T"," "),"Z","")),
    IFERROR(
      DATE(
        RIGHT(TRIM(I709),4),
        MID(TRIM(I709),4,2),
        LEFT(TRIM(I709),2)
      ),
      DATE(
        VALUE(RIGHT(TRIM(I709),4)),
        MATCH(LEFT(TRIM(I709),FIND(" ",TRIM(I709))-1),
          {"January","February","March","April","May","June","July","August","September","October","November","December"},0),
        VALUE(MID(TRIM(I709),
          FIND(" ",TRIM(I709))+1,
          FIND(" ",TRIM(I709),FIND(" ",TRIM(I709))+1)-FIND(" ",TRIM(I709))-1))
      )
    )
  ),
"yyyy-mm-dd")</f>
        <v>2023-08-24</v>
      </c>
      <c r="K709" s="5" t="str">
        <f t="shared" si="92"/>
        <v>Aug</v>
      </c>
      <c r="L709">
        <v>1694623237</v>
      </c>
      <c r="M709" s="11">
        <f t="shared" si="93"/>
        <v>45182.694872685184</v>
      </c>
      <c r="N709">
        <v>229.76</v>
      </c>
      <c r="O709" s="7">
        <f t="shared" si="94"/>
        <v>229.76</v>
      </c>
      <c r="P709" t="s">
        <v>58</v>
      </c>
      <c r="Q709" s="7" t="str">
        <f t="shared" si="95"/>
        <v>Student account</v>
      </c>
    </row>
    <row r="710" spans="1:17">
      <c r="A710">
        <v>1170</v>
      </c>
      <c r="B710" t="s">
        <v>90</v>
      </c>
      <c r="C710" s="9" t="str">
        <f t="shared" si="88"/>
        <v>Olivia Wilson</v>
      </c>
      <c r="D710" s="7" t="str">
        <f t="shared" si="89"/>
        <v>Olivia Wilson</v>
      </c>
      <c r="F710" s="7">
        <f t="shared" si="90"/>
        <v>43</v>
      </c>
      <c r="G710" t="s">
        <v>29</v>
      </c>
      <c r="H710" s="7" t="str">
        <f t="shared" si="91"/>
        <v>United States</v>
      </c>
      <c r="I710" t="s">
        <v>231</v>
      </c>
      <c r="J710" s="7" t="str">
        <f>TEXT(
  IFERROR(
    DATEVALUE(SUBSTITUTE(SUBSTITUTE(TRIM(I710),"T"," "),"Z","")),
    IFERROR(
      DATE(
        RIGHT(TRIM(I710),4),
        MID(TRIM(I710),4,2),
        LEFT(TRIM(I710),2)
      ),
      DATE(
        VALUE(RIGHT(TRIM(I710),4)),
        MATCH(LEFT(TRIM(I710),FIND(" ",TRIM(I710))-1),
          {"January","February","March","April","May","June","July","August","September","October","November","December"},0),
        VALUE(MID(TRIM(I710),
          FIND(" ",TRIM(I710))+1,
          FIND(" ",TRIM(I710),FIND(" ",TRIM(I710))+1)-FIND(" ",TRIM(I710))-1))
      )
    )
  ),
"yyyy-mm-dd")</f>
        <v>2023-03-24</v>
      </c>
      <c r="K710" s="5" t="str">
        <f t="shared" si="92"/>
        <v>Mar</v>
      </c>
      <c r="L710">
        <v>1676843781</v>
      </c>
      <c r="M710" s="11">
        <f t="shared" si="93"/>
        <v>44976.914131944446</v>
      </c>
      <c r="O710" s="7">
        <f t="shared" si="94"/>
        <v>0</v>
      </c>
      <c r="P710" t="s">
        <v>36</v>
      </c>
      <c r="Q710" s="7" t="str">
        <f t="shared" si="95"/>
        <v>Regular shopper</v>
      </c>
    </row>
    <row r="711" spans="1:17">
      <c r="A711">
        <v>1024</v>
      </c>
      <c r="B711" t="s">
        <v>131</v>
      </c>
      <c r="C711" s="9" t="str">
        <f t="shared" si="88"/>
        <v>Isabella Martinez</v>
      </c>
      <c r="D711" s="7" t="str">
        <f t="shared" si="89"/>
        <v>Isabella Martinez</v>
      </c>
      <c r="F711" s="7">
        <f t="shared" si="90"/>
        <v>43</v>
      </c>
      <c r="G711" t="s">
        <v>29</v>
      </c>
      <c r="H711" s="7" t="str">
        <f t="shared" si="91"/>
        <v>United States</v>
      </c>
      <c r="I711" t="s">
        <v>672</v>
      </c>
      <c r="J711" s="7" t="str">
        <f>TEXT(
  IFERROR(
    DATEVALUE(SUBSTITUTE(SUBSTITUTE(TRIM(I711),"T"," "),"Z","")),
    IFERROR(
      DATE(
        RIGHT(TRIM(I711),4),
        MID(TRIM(I711),4,2),
        LEFT(TRIM(I711),2)
      ),
      DATE(
        VALUE(RIGHT(TRIM(I711),4)),
        MATCH(LEFT(TRIM(I711),FIND(" ",TRIM(I711))-1),
          {"January","February","March","April","May","June","July","August","September","October","November","December"},0),
        VALUE(MID(TRIM(I711),
          FIND(" ",TRIM(I711))+1,
          FIND(" ",TRIM(I711),FIND(" ",TRIM(I711))+1)-FIND(" ",TRIM(I711))-1))
      )
    )
  ),
"yyyy-mm-dd")</f>
        <v>2023-06-05</v>
      </c>
      <c r="K711" s="5" t="str">
        <f t="shared" si="92"/>
        <v>Jun</v>
      </c>
      <c r="L711">
        <v>1681202821</v>
      </c>
      <c r="M711" s="11">
        <f t="shared" si="93"/>
        <v>45027.365983796291</v>
      </c>
      <c r="N711">
        <v>1115.68</v>
      </c>
      <c r="O711" s="7">
        <f t="shared" si="94"/>
        <v>1115.68</v>
      </c>
      <c r="P711" t="s">
        <v>27</v>
      </c>
      <c r="Q711" s="7" t="str">
        <f t="shared" si="95"/>
        <v xml:space="preserve">Holiday signup </v>
      </c>
    </row>
    <row r="712" spans="1:17">
      <c r="A712">
        <v>1923</v>
      </c>
      <c r="B712" t="s">
        <v>80</v>
      </c>
      <c r="C712" s="9" t="str">
        <f t="shared" si="88"/>
        <v>Ahmed Hassan</v>
      </c>
      <c r="D712" s="7" t="str">
        <f t="shared" si="89"/>
        <v>Ahmed Hassan</v>
      </c>
      <c r="F712" s="7">
        <f t="shared" si="90"/>
        <v>43</v>
      </c>
      <c r="G712" t="s">
        <v>62</v>
      </c>
      <c r="H712" s="7" t="str">
        <f t="shared" si="91"/>
        <v>Ireland</v>
      </c>
      <c r="I712" t="s">
        <v>369</v>
      </c>
      <c r="J712" s="7" t="str">
        <f>TEXT(
  IFERROR(
    DATEVALUE(SUBSTITUTE(SUBSTITUTE(TRIM(I712),"T"," "),"Z","")),
    IFERROR(
      DATE(
        RIGHT(TRIM(I712),4),
        MID(TRIM(I712),4,2),
        LEFT(TRIM(I712),2)
      ),
      DATE(
        VALUE(RIGHT(TRIM(I712),4)),
        MATCH(LEFT(TRIM(I712),FIND(" ",TRIM(I712))-1),
          {"January","February","March","April","May","June","July","August","September","October","November","December"},0),
        VALUE(MID(TRIM(I712),
          FIND(" ",TRIM(I712))+1,
          FIND(" ",TRIM(I712),FIND(" ",TRIM(I712))+1)-FIND(" ",TRIM(I712))-1))
      )
    )
  ),
"yyyy-mm-dd")</f>
        <v>2023-07-06</v>
      </c>
      <c r="K712" s="5" t="str">
        <f t="shared" si="92"/>
        <v>Jul</v>
      </c>
      <c r="L712">
        <v>1698880829</v>
      </c>
      <c r="M712" s="11">
        <f t="shared" si="93"/>
        <v>45231.972557870366</v>
      </c>
      <c r="O712" s="7">
        <f t="shared" si="94"/>
        <v>0</v>
      </c>
      <c r="P712" t="s">
        <v>46</v>
      </c>
      <c r="Q712" s="7" t="str">
        <f t="shared" si="95"/>
        <v>Corporate account</v>
      </c>
    </row>
    <row r="713" spans="1:17">
      <c r="A713">
        <v>1786</v>
      </c>
      <c r="B713" t="s">
        <v>92</v>
      </c>
      <c r="C713" s="9" t="str">
        <f t="shared" si="88"/>
        <v>Zoë Kravitz</v>
      </c>
      <c r="D713" s="7" t="str">
        <f t="shared" si="89"/>
        <v xml:space="preserve"> Zoë Kravitz </v>
      </c>
      <c r="E713">
        <v>39</v>
      </c>
      <c r="F713" s="7">
        <f t="shared" si="90"/>
        <v>39</v>
      </c>
      <c r="G713" t="s">
        <v>54</v>
      </c>
      <c r="H713" s="7" t="str">
        <f t="shared" si="91"/>
        <v>Brazil</v>
      </c>
      <c r="I713" t="s">
        <v>673</v>
      </c>
      <c r="J713" s="7" t="str">
        <f>TEXT(
  IFERROR(
    DATEVALUE(SUBSTITUTE(SUBSTITUTE(TRIM(I713),"T"," "),"Z","")),
    IFERROR(
      DATE(
        RIGHT(TRIM(I713),4),
        MID(TRIM(I713),4,2),
        LEFT(TRIM(I713),2)
      ),
      DATE(
        VALUE(RIGHT(TRIM(I713),4)),
        MATCH(LEFT(TRIM(I713),FIND(" ",TRIM(I713))-1),
          {"January","February","March","April","May","June","July","August","September","October","November","December"},0),
        VALUE(MID(TRIM(I713),
          FIND(" ",TRIM(I713))+1,
          FIND(" ",TRIM(I713),FIND(" ",TRIM(I713))+1)-FIND(" ",TRIM(I713))-1))
      )
    )
  ),
"yyyy-mm-dd")</f>
        <v>2023-04-12</v>
      </c>
      <c r="K713" s="5" t="str">
        <f t="shared" si="92"/>
        <v>Apr</v>
      </c>
      <c r="L713">
        <v>1699798220</v>
      </c>
      <c r="M713" s="11">
        <f t="shared" si="93"/>
        <v>45242.590509259258</v>
      </c>
      <c r="O713" s="7">
        <f t="shared" si="94"/>
        <v>0</v>
      </c>
      <c r="P713" t="s">
        <v>118</v>
      </c>
      <c r="Q713" s="7" t="str">
        <f t="shared" si="95"/>
        <v>High engagement</v>
      </c>
    </row>
    <row r="714" spans="1:17">
      <c r="A714">
        <v>1607</v>
      </c>
      <c r="B714" t="s">
        <v>82</v>
      </c>
      <c r="C714" s="9" t="str">
        <f t="shared" si="88"/>
        <v>Björn Larsson</v>
      </c>
      <c r="D714" s="7" t="str">
        <f t="shared" si="89"/>
        <v>Björn Larsson</v>
      </c>
      <c r="E714">
        <v>52</v>
      </c>
      <c r="F714" s="7">
        <f t="shared" si="90"/>
        <v>52</v>
      </c>
      <c r="G714" t="s">
        <v>102</v>
      </c>
      <c r="H714" s="7" t="str">
        <f t="shared" si="91"/>
        <v>Mexico</v>
      </c>
      <c r="I714" t="s">
        <v>317</v>
      </c>
      <c r="J714" s="7" t="str">
        <f>TEXT(
  IFERROR(
    DATEVALUE(SUBSTITUTE(SUBSTITUTE(TRIM(I714),"T"," "),"Z","")),
    IFERROR(
      DATE(
        RIGHT(TRIM(I714),4),
        MID(TRIM(I714),4,2),
        LEFT(TRIM(I714),2)
      ),
      DATE(
        VALUE(RIGHT(TRIM(I714),4)),
        MATCH(LEFT(TRIM(I714),FIND(" ",TRIM(I714))-1),
          {"January","February","March","April","May","June","July","August","September","October","November","December"},0),
        VALUE(MID(TRIM(I714),
          FIND(" ",TRIM(I714))+1,
          FIND(" ",TRIM(I714),FIND(" ",TRIM(I714))+1)-FIND(" ",TRIM(I714))-1))
      )
    )
  ),
"yyyy-mm-dd")</f>
        <v>2023-07-02</v>
      </c>
      <c r="K714" s="5" t="str">
        <f t="shared" si="92"/>
        <v>Jul</v>
      </c>
      <c r="L714">
        <v>1673111839</v>
      </c>
      <c r="M714" s="11">
        <f t="shared" si="93"/>
        <v>44933.720358796301</v>
      </c>
      <c r="O714" s="7">
        <f t="shared" si="94"/>
        <v>0</v>
      </c>
      <c r="P714" t="s">
        <v>20</v>
      </c>
      <c r="Q714" s="7" t="str">
        <f t="shared" si="95"/>
        <v xml:space="preserve">Great customer </v>
      </c>
    </row>
    <row r="715" spans="1:17">
      <c r="A715">
        <v>1079</v>
      </c>
      <c r="B715" t="s">
        <v>56</v>
      </c>
      <c r="C715" s="9" t="str">
        <f t="shared" si="88"/>
        <v>Carlos García</v>
      </c>
      <c r="D715" s="7" t="str">
        <f t="shared" si="89"/>
        <v>Carlos García</v>
      </c>
      <c r="E715">
        <v>64</v>
      </c>
      <c r="F715" s="7">
        <f t="shared" si="90"/>
        <v>64</v>
      </c>
      <c r="G715" t="s">
        <v>116</v>
      </c>
      <c r="H715" s="7" t="str">
        <f t="shared" si="91"/>
        <v>China</v>
      </c>
      <c r="I715" t="s">
        <v>674</v>
      </c>
      <c r="J715" s="7" t="str">
        <f>TEXT(
  IFERROR(
    DATEVALUE(SUBSTITUTE(SUBSTITUTE(TRIM(I715),"T"," "),"Z","")),
    IFERROR(
      DATE(
        RIGHT(TRIM(I715),4),
        MID(TRIM(I715),4,2),
        LEFT(TRIM(I715),2)
      ),
      DATE(
        VALUE(RIGHT(TRIM(I715),4)),
        MATCH(LEFT(TRIM(I715),FIND(" ",TRIM(I715))-1),
          {"January","February","March","April","May","June","July","August","September","October","November","December"},0),
        VALUE(MID(TRIM(I715),
          FIND(" ",TRIM(I715))+1,
          FIND(" ",TRIM(I715),FIND(" ",TRIM(I715))+1)-FIND(" ",TRIM(I715))-1))
      )
    )
  ),
"yyyy-mm-dd")</f>
        <v>2023-09-20</v>
      </c>
      <c r="K715" s="5" t="str">
        <f t="shared" si="92"/>
        <v>Sep</v>
      </c>
      <c r="L715">
        <v>1683857772</v>
      </c>
      <c r="M715" s="11">
        <f t="shared" si="93"/>
        <v>45058.094583333332</v>
      </c>
      <c r="O715" s="7">
        <f t="shared" si="94"/>
        <v>0</v>
      </c>
      <c r="P715" t="s">
        <v>118</v>
      </c>
      <c r="Q715" s="7" t="str">
        <f t="shared" si="95"/>
        <v>High engagement</v>
      </c>
    </row>
    <row r="716" spans="1:17">
      <c r="A716">
        <v>1821</v>
      </c>
      <c r="B716" t="s">
        <v>94</v>
      </c>
      <c r="C716" s="9" t="str">
        <f t="shared" si="88"/>
        <v>John Smith</v>
      </c>
      <c r="D716" s="7" t="str">
        <f t="shared" si="89"/>
        <v xml:space="preserve"> John Smith </v>
      </c>
      <c r="E716">
        <v>34</v>
      </c>
      <c r="F716" s="7">
        <f t="shared" si="90"/>
        <v>34</v>
      </c>
      <c r="G716" t="s">
        <v>29</v>
      </c>
      <c r="H716" s="7" t="str">
        <f t="shared" si="91"/>
        <v>United States</v>
      </c>
      <c r="I716" t="s">
        <v>675</v>
      </c>
      <c r="J716" s="7" t="str">
        <f>TEXT(
  IFERROR(
    DATEVALUE(SUBSTITUTE(SUBSTITUTE(TRIM(I716),"T"," "),"Z","")),
    IFERROR(
      DATE(
        RIGHT(TRIM(I716),4),
        MID(TRIM(I716),4,2),
        LEFT(TRIM(I716),2)
      ),
      DATE(
        VALUE(RIGHT(TRIM(I716),4)),
        MATCH(LEFT(TRIM(I716),FIND(" ",TRIM(I716))-1),
          {"January","February","March","April","May","June","July","August","September","October","November","December"},0),
        VALUE(MID(TRIM(I716),
          FIND(" ",TRIM(I716))+1,
          FIND(" ",TRIM(I716),FIND(" ",TRIM(I716))+1)-FIND(" ",TRIM(I716))-1))
      )
    )
  ),
"yyyy-mm-dd")</f>
        <v>2023-08-10</v>
      </c>
      <c r="K716" s="5" t="str">
        <f t="shared" si="92"/>
        <v>Aug</v>
      </c>
      <c r="L716">
        <v>1699154300</v>
      </c>
      <c r="M716" s="11">
        <f t="shared" si="93"/>
        <v>45235.137731481482</v>
      </c>
      <c r="O716" s="7">
        <f t="shared" si="94"/>
        <v>0</v>
      </c>
      <c r="P716" t="s">
        <v>58</v>
      </c>
      <c r="Q716" s="7" t="str">
        <f t="shared" si="95"/>
        <v>Student account</v>
      </c>
    </row>
    <row r="717" spans="1:17">
      <c r="A717">
        <v>2053</v>
      </c>
      <c r="B717" t="s">
        <v>148</v>
      </c>
      <c r="C717" s="9" t="str">
        <f t="shared" si="88"/>
        <v>Chloe Dubois</v>
      </c>
      <c r="D717" s="7" t="str">
        <f t="shared" si="89"/>
        <v>Chloe Dubois</v>
      </c>
      <c r="E717">
        <v>33</v>
      </c>
      <c r="F717" s="7">
        <f t="shared" si="90"/>
        <v>33</v>
      </c>
      <c r="G717" t="s">
        <v>122</v>
      </c>
      <c r="H717" s="7" t="str">
        <f t="shared" si="91"/>
        <v>Italy</v>
      </c>
      <c r="I717" t="s">
        <v>360</v>
      </c>
      <c r="J717" s="7" t="str">
        <f>TEXT(
  IFERROR(
    DATEVALUE(SUBSTITUTE(SUBSTITUTE(TRIM(I717),"T"," "),"Z","")),
    IFERROR(
      DATE(
        RIGHT(TRIM(I717),4),
        MID(TRIM(I717),4,2),
        LEFT(TRIM(I717),2)
      ),
      DATE(
        VALUE(RIGHT(TRIM(I717),4)),
        MATCH(LEFT(TRIM(I717),FIND(" ",TRIM(I717))-1),
          {"January","February","March","April","May","June","July","August","September","October","November","December"},0),
        VALUE(MID(TRIM(I717),
          FIND(" ",TRIM(I717))+1,
          FIND(" ",TRIM(I717),FIND(" ",TRIM(I717))+1)-FIND(" ",TRIM(I717))-1))
      )
    )
  ),
"yyyy-mm-dd")</f>
        <v>2023-10-21</v>
      </c>
      <c r="K717" s="5" t="str">
        <f t="shared" si="92"/>
        <v>Oct</v>
      </c>
      <c r="L717">
        <v>1679745224</v>
      </c>
      <c r="M717" s="11">
        <f t="shared" si="93"/>
        <v>45010.495648148149</v>
      </c>
      <c r="O717" s="7">
        <f t="shared" si="94"/>
        <v>0</v>
      </c>
      <c r="P717" t="s">
        <v>58</v>
      </c>
      <c r="Q717" s="7" t="str">
        <f t="shared" si="95"/>
        <v>Student account</v>
      </c>
    </row>
    <row r="718" spans="1:17">
      <c r="A718">
        <v>1826</v>
      </c>
      <c r="B718" t="s">
        <v>28</v>
      </c>
      <c r="C718" s="9" t="str">
        <f t="shared" si="88"/>
        <v>Maria Lopez</v>
      </c>
      <c r="D718" s="7" t="str">
        <f t="shared" si="89"/>
        <v>Maria Lopez</v>
      </c>
      <c r="E718">
        <v>23</v>
      </c>
      <c r="F718" s="7">
        <f t="shared" si="90"/>
        <v>23</v>
      </c>
      <c r="G718" t="s">
        <v>60</v>
      </c>
      <c r="H718" s="7" t="str">
        <f t="shared" si="91"/>
        <v>Egypt</v>
      </c>
      <c r="I718" t="s">
        <v>676</v>
      </c>
      <c r="J718" s="7" t="str">
        <f>TEXT(
  IFERROR(
    DATEVALUE(SUBSTITUTE(SUBSTITUTE(TRIM(I718),"T"," "),"Z","")),
    IFERROR(
      DATE(
        RIGHT(TRIM(I718),4),
        MID(TRIM(I718),4,2),
        LEFT(TRIM(I718),2)
      ),
      DATE(
        VALUE(RIGHT(TRIM(I718),4)),
        MATCH(LEFT(TRIM(I718),FIND(" ",TRIM(I718))-1),
          {"January","February","March","April","May","June","July","August","September","October","November","December"},0),
        VALUE(MID(TRIM(I718),
          FIND(" ",TRIM(I718))+1,
          FIND(" ",TRIM(I718),FIND(" ",TRIM(I718))+1)-FIND(" ",TRIM(I718))-1))
      )
    )
  ),
"yyyy-mm-dd")</f>
        <v>2023-10-15</v>
      </c>
      <c r="K718" s="5" t="str">
        <f t="shared" si="92"/>
        <v>Oct</v>
      </c>
      <c r="L718">
        <v>1675312104</v>
      </c>
      <c r="M718" s="11">
        <f t="shared" si="93"/>
        <v>44959.186388888891</v>
      </c>
      <c r="O718" s="7">
        <f t="shared" si="94"/>
        <v>0</v>
      </c>
      <c r="P718" t="s">
        <v>58</v>
      </c>
      <c r="Q718" s="7" t="str">
        <f t="shared" si="95"/>
        <v>Student account</v>
      </c>
    </row>
    <row r="719" spans="1:17">
      <c r="A719">
        <v>1598</v>
      </c>
      <c r="B719" t="s">
        <v>82</v>
      </c>
      <c r="C719" s="9" t="str">
        <f t="shared" si="88"/>
        <v>Björn Larsson</v>
      </c>
      <c r="D719" s="7" t="str">
        <f t="shared" si="89"/>
        <v>Björn Larsson</v>
      </c>
      <c r="E719">
        <v>61</v>
      </c>
      <c r="F719" s="7">
        <f t="shared" si="90"/>
        <v>61</v>
      </c>
      <c r="G719" t="s">
        <v>18</v>
      </c>
      <c r="H719" s="7" t="str">
        <f t="shared" si="91"/>
        <v>United Kingdom</v>
      </c>
      <c r="I719" t="s">
        <v>241</v>
      </c>
      <c r="J719" s="7" t="str">
        <f>TEXT(
  IFERROR(
    DATEVALUE(SUBSTITUTE(SUBSTITUTE(TRIM(I719),"T"," "),"Z","")),
    IFERROR(
      DATE(
        RIGHT(TRIM(I719),4),
        MID(TRIM(I719),4,2),
        LEFT(TRIM(I719),2)
      ),
      DATE(
        VALUE(RIGHT(TRIM(I719),4)),
        MATCH(LEFT(TRIM(I719),FIND(" ",TRIM(I719))-1),
          {"January","February","March","April","May","June","July","August","September","October","November","December"},0),
        VALUE(MID(TRIM(I719),
          FIND(" ",TRIM(I719))+1,
          FIND(" ",TRIM(I719),FIND(" ",TRIM(I719))+1)-FIND(" ",TRIM(I719))-1))
      )
    )
  ),
"yyyy-mm-dd")</f>
        <v>2023-11-16</v>
      </c>
      <c r="K719" s="5" t="str">
        <f t="shared" si="92"/>
        <v>Nov</v>
      </c>
      <c r="L719">
        <v>1678118674</v>
      </c>
      <c r="M719" s="11">
        <f t="shared" si="93"/>
        <v>44991.669837962967</v>
      </c>
      <c r="O719" s="7">
        <f t="shared" si="94"/>
        <v>0</v>
      </c>
      <c r="P719" t="s">
        <v>118</v>
      </c>
      <c r="Q719" s="7" t="str">
        <f t="shared" si="95"/>
        <v>High engagement</v>
      </c>
    </row>
    <row r="720" spans="1:17">
      <c r="A720">
        <v>1572</v>
      </c>
      <c r="B720" t="s">
        <v>41</v>
      </c>
      <c r="C720" s="9" t="str">
        <f t="shared" si="88"/>
        <v>Lucas Silva</v>
      </c>
      <c r="D720" s="7" t="str">
        <f t="shared" si="89"/>
        <v>Lucas Silva</v>
      </c>
      <c r="E720">
        <v>24</v>
      </c>
      <c r="F720" s="7">
        <f t="shared" si="90"/>
        <v>24</v>
      </c>
      <c r="G720" t="s">
        <v>25</v>
      </c>
      <c r="H720" s="7" t="str">
        <f t="shared" si="91"/>
        <v>Japan</v>
      </c>
      <c r="I720" t="s">
        <v>77</v>
      </c>
      <c r="J720" s="7" t="str">
        <f>TEXT(
  IFERROR(
    DATEVALUE(SUBSTITUTE(SUBSTITUTE(TRIM(I720),"T"," "),"Z","")),
    IFERROR(
      DATE(
        RIGHT(TRIM(I720),4),
        MID(TRIM(I720),4,2),
        LEFT(TRIM(I720),2)
      ),
      DATE(
        VALUE(RIGHT(TRIM(I720),4)),
        MATCH(LEFT(TRIM(I720),FIND(" ",TRIM(I720))-1),
          {"January","February","March","April","May","June","July","August","September","October","November","December"},0),
        VALUE(MID(TRIM(I720),
          FIND(" ",TRIM(I720))+1,
          FIND(" ",TRIM(I720),FIND(" ",TRIM(I720))+1)-FIND(" ",TRIM(I720))-1))
      )
    )
  ),
"yyyy-mm-dd")</f>
        <v>2023-09-15</v>
      </c>
      <c r="K720" s="5" t="str">
        <f t="shared" si="92"/>
        <v>Sep</v>
      </c>
      <c r="L720">
        <v>1690392016</v>
      </c>
      <c r="M720" s="11">
        <f t="shared" si="93"/>
        <v>45133.722407407404</v>
      </c>
      <c r="O720" s="7">
        <f t="shared" si="94"/>
        <v>0</v>
      </c>
      <c r="P720" t="s">
        <v>36</v>
      </c>
      <c r="Q720" s="7" t="str">
        <f t="shared" si="95"/>
        <v>Regular shopper</v>
      </c>
    </row>
    <row r="721" spans="1:17">
      <c r="A721">
        <v>2169</v>
      </c>
      <c r="B721" t="s">
        <v>88</v>
      </c>
      <c r="C721" s="9" t="str">
        <f t="shared" si="88"/>
        <v>André Santos</v>
      </c>
      <c r="D721" s="7" t="str">
        <f t="shared" si="89"/>
        <v>André Santos</v>
      </c>
      <c r="E721">
        <v>38</v>
      </c>
      <c r="F721" s="7">
        <f t="shared" si="90"/>
        <v>38</v>
      </c>
      <c r="G721" t="s">
        <v>38</v>
      </c>
      <c r="H721" s="7" t="str">
        <f t="shared" si="91"/>
        <v>Spain</v>
      </c>
      <c r="I721" t="s">
        <v>677</v>
      </c>
      <c r="J721" s="7" t="str">
        <f>TEXT(
  IFERROR(
    DATEVALUE(SUBSTITUTE(SUBSTITUTE(TRIM(I721),"T"," "),"Z","")),
    IFERROR(
      DATE(
        RIGHT(TRIM(I721),4),
        MID(TRIM(I721),4,2),
        LEFT(TRIM(I721),2)
      ),
      DATE(
        VALUE(RIGHT(TRIM(I721),4)),
        MATCH(LEFT(TRIM(I721),FIND(" ",TRIM(I721))-1),
          {"January","February","March","April","May","June","July","August","September","October","November","December"},0),
        VALUE(MID(TRIM(I721),
          FIND(" ",TRIM(I721))+1,
          FIND(" ",TRIM(I721),FIND(" ",TRIM(I721))+1)-FIND(" ",TRIM(I721))-1))
      )
    )
  ),
"yyyy-mm-dd")</f>
        <v>2023-03-27</v>
      </c>
      <c r="K721" s="5" t="str">
        <f t="shared" si="92"/>
        <v>Mar</v>
      </c>
      <c r="L721">
        <v>1693512133</v>
      </c>
      <c r="M721" s="11">
        <f t="shared" si="93"/>
        <v>45169.834872685184</v>
      </c>
      <c r="N721">
        <v>713.15</v>
      </c>
      <c r="O721" s="7">
        <f t="shared" si="94"/>
        <v>713.15</v>
      </c>
      <c r="P721" t="s">
        <v>84</v>
      </c>
      <c r="Q721" s="7" t="str">
        <f t="shared" si="95"/>
        <v xml:space="preserve">Newsletter subscriber </v>
      </c>
    </row>
    <row r="722" spans="1:17">
      <c r="A722">
        <v>1047</v>
      </c>
      <c r="B722" t="s">
        <v>88</v>
      </c>
      <c r="C722" s="9" t="str">
        <f t="shared" si="88"/>
        <v>André Santos</v>
      </c>
      <c r="D722" s="7" t="str">
        <f t="shared" si="89"/>
        <v>André Santos</v>
      </c>
      <c r="E722">
        <v>42</v>
      </c>
      <c r="F722" s="7">
        <f t="shared" si="90"/>
        <v>42</v>
      </c>
      <c r="G722" t="s">
        <v>67</v>
      </c>
      <c r="H722" s="7" t="str">
        <f t="shared" si="91"/>
        <v>Sweden</v>
      </c>
      <c r="I722" t="s">
        <v>678</v>
      </c>
      <c r="J722" s="7" t="str">
        <f>TEXT(
  IFERROR(
    DATEVALUE(SUBSTITUTE(SUBSTITUTE(TRIM(I722),"T"," "),"Z","")),
    IFERROR(
      DATE(
        RIGHT(TRIM(I722),4),
        MID(TRIM(I722),4,2),
        LEFT(TRIM(I722),2)
      ),
      DATE(
        VALUE(RIGHT(TRIM(I722),4)),
        MATCH(LEFT(TRIM(I722),FIND(" ",TRIM(I722))-1),
          {"January","February","March","April","May","June","July","August","September","October","November","December"},0),
        VALUE(MID(TRIM(I722),
          FIND(" ",TRIM(I722))+1,
          FIND(" ",TRIM(I722),FIND(" ",TRIM(I722))+1)-FIND(" ",TRIM(I722))-1))
      )
    )
  ),
"yyyy-mm-dd")</f>
        <v>2023-04-09</v>
      </c>
      <c r="K722" s="5" t="str">
        <f t="shared" si="92"/>
        <v>Apr</v>
      </c>
      <c r="L722">
        <v>1687884175</v>
      </c>
      <c r="M722" s="11">
        <f t="shared" si="93"/>
        <v>45104.696469907409</v>
      </c>
      <c r="N722">
        <v>559.91</v>
      </c>
      <c r="O722" s="7">
        <f t="shared" si="94"/>
        <v>559.91</v>
      </c>
      <c r="P722" t="s">
        <v>33</v>
      </c>
      <c r="Q722" s="7" t="str">
        <f t="shared" si="95"/>
        <v>Frequent buyer n</v>
      </c>
    </row>
    <row r="723" spans="1:17">
      <c r="A723">
        <v>1947</v>
      </c>
      <c r="B723" t="s">
        <v>88</v>
      </c>
      <c r="C723" s="9" t="str">
        <f t="shared" si="88"/>
        <v>André Santos</v>
      </c>
      <c r="D723" s="7" t="str">
        <f t="shared" si="89"/>
        <v>André Santos</v>
      </c>
      <c r="E723">
        <v>18</v>
      </c>
      <c r="F723" s="7">
        <f t="shared" si="90"/>
        <v>18</v>
      </c>
      <c r="G723" t="s">
        <v>44</v>
      </c>
      <c r="H723" s="7" t="str">
        <f t="shared" si="91"/>
        <v>UAE</v>
      </c>
      <c r="I723" t="s">
        <v>679</v>
      </c>
      <c r="J723" s="7" t="str">
        <f>TEXT(
  IFERROR(
    DATEVALUE(SUBSTITUTE(SUBSTITUTE(TRIM(I723),"T"," "),"Z","")),
    IFERROR(
      DATE(
        RIGHT(TRIM(I723),4),
        MID(TRIM(I723),4,2),
        LEFT(TRIM(I723),2)
      ),
      DATE(
        VALUE(RIGHT(TRIM(I723),4)),
        MATCH(LEFT(TRIM(I723),FIND(" ",TRIM(I723))-1),
          {"January","February","March","April","May","June","July","August","September","October","November","December"},0),
        VALUE(MID(TRIM(I723),
          FIND(" ",TRIM(I723))+1,
          FIND(" ",TRIM(I723),FIND(" ",TRIM(I723))+1)-FIND(" ",TRIM(I723))-1))
      )
    )
  ),
"yyyy-mm-dd")</f>
        <v>2023-09-24</v>
      </c>
      <c r="K723" s="5" t="str">
        <f t="shared" si="92"/>
        <v>Sep</v>
      </c>
      <c r="L723">
        <v>1701453590</v>
      </c>
      <c r="M723" s="11">
        <f t="shared" si="93"/>
        <v>45261.749884259261</v>
      </c>
      <c r="O723" s="7">
        <f t="shared" si="94"/>
        <v>0</v>
      </c>
      <c r="P723" t="s">
        <v>58</v>
      </c>
      <c r="Q723" s="7" t="str">
        <f t="shared" si="95"/>
        <v>Student account</v>
      </c>
    </row>
    <row r="724" spans="1:17">
      <c r="A724">
        <v>1599</v>
      </c>
      <c r="B724" t="s">
        <v>198</v>
      </c>
      <c r="C724" s="9" t="str">
        <f t="shared" si="88"/>
        <v>Noah Martin</v>
      </c>
      <c r="D724" s="7" t="str">
        <f t="shared" si="89"/>
        <v xml:space="preserve"> Noah Martin </v>
      </c>
      <c r="E724">
        <v>32</v>
      </c>
      <c r="F724" s="7">
        <f t="shared" si="90"/>
        <v>32</v>
      </c>
      <c r="G724" t="s">
        <v>102</v>
      </c>
      <c r="H724" s="7" t="str">
        <f t="shared" si="91"/>
        <v>Mexico</v>
      </c>
      <c r="I724" t="s">
        <v>680</v>
      </c>
      <c r="J724" s="7" t="str">
        <f>TEXT(
  IFERROR(
    DATEVALUE(SUBSTITUTE(SUBSTITUTE(TRIM(I724),"T"," "),"Z","")),
    IFERROR(
      DATE(
        RIGHT(TRIM(I724),4),
        MID(TRIM(I724),4,2),
        LEFT(TRIM(I724),2)
      ),
      DATE(
        VALUE(RIGHT(TRIM(I724),4)),
        MATCH(LEFT(TRIM(I724),FIND(" ",TRIM(I724))-1),
          {"January","February","March","April","May","June","July","August","September","October","November","December"},0),
        VALUE(MID(TRIM(I724),
          FIND(" ",TRIM(I724))+1,
          FIND(" ",TRIM(I724),FIND(" ",TRIM(I724))+1)-FIND(" ",TRIM(I724))-1))
      )
    )
  ),
"yyyy-mm-dd")</f>
        <v>2023-03-17</v>
      </c>
      <c r="K724" s="5" t="str">
        <f t="shared" si="92"/>
        <v>Mar</v>
      </c>
      <c r="L724">
        <v>1672928891</v>
      </c>
      <c r="M724" s="11">
        <f t="shared" si="93"/>
        <v>44931.602905092594</v>
      </c>
      <c r="O724" s="7">
        <f t="shared" si="94"/>
        <v>0</v>
      </c>
      <c r="P724" t="s">
        <v>36</v>
      </c>
      <c r="Q724" s="7" t="str">
        <f t="shared" si="95"/>
        <v>Regular shopper</v>
      </c>
    </row>
    <row r="725" spans="1:17">
      <c r="A725">
        <v>1390</v>
      </c>
      <c r="B725" t="s">
        <v>88</v>
      </c>
      <c r="C725" s="9" t="str">
        <f t="shared" si="88"/>
        <v>André Santos</v>
      </c>
      <c r="D725" s="7" t="str">
        <f t="shared" si="89"/>
        <v>André Santos</v>
      </c>
      <c r="E725">
        <v>26</v>
      </c>
      <c r="F725" s="7">
        <f t="shared" si="90"/>
        <v>26</v>
      </c>
      <c r="G725" t="s">
        <v>102</v>
      </c>
      <c r="H725" s="7" t="str">
        <f t="shared" si="91"/>
        <v>Mexico</v>
      </c>
      <c r="I725" t="s">
        <v>681</v>
      </c>
      <c r="J725" s="7" t="str">
        <f>TEXT(
  IFERROR(
    DATEVALUE(SUBSTITUTE(SUBSTITUTE(TRIM(I725),"T"," "),"Z","")),
    IFERROR(
      DATE(
        RIGHT(TRIM(I725),4),
        MID(TRIM(I725),4,2),
        LEFT(TRIM(I725),2)
      ),
      DATE(
        VALUE(RIGHT(TRIM(I725),4)),
        MATCH(LEFT(TRIM(I725),FIND(" ",TRIM(I725))-1),
          {"January","February","March","April","May","June","July","August","September","October","November","December"},0),
        VALUE(MID(TRIM(I725),
          FIND(" ",TRIM(I725))+1,
          FIND(" ",TRIM(I725),FIND(" ",TRIM(I725))+1)-FIND(" ",TRIM(I725))-1))
      )
    )
  ),
"yyyy-mm-dd")</f>
        <v>2023-02-01</v>
      </c>
      <c r="K725" s="5" t="str">
        <f t="shared" si="92"/>
        <v>Feb</v>
      </c>
      <c r="L725">
        <v>1680160527</v>
      </c>
      <c r="M725" s="11">
        <f t="shared" si="93"/>
        <v>45015.302395833336</v>
      </c>
      <c r="O725" s="7">
        <f t="shared" si="94"/>
        <v>0</v>
      </c>
      <c r="P725" t="s">
        <v>36</v>
      </c>
      <c r="Q725" s="7" t="str">
        <f t="shared" si="95"/>
        <v>Regular shopper</v>
      </c>
    </row>
    <row r="726" spans="1:17">
      <c r="A726">
        <v>1967</v>
      </c>
      <c r="B726" t="s">
        <v>140</v>
      </c>
      <c r="C726" s="9" t="str">
        <f t="shared" si="88"/>
        <v>Anne Müller</v>
      </c>
      <c r="D726" s="7" t="str">
        <f t="shared" si="89"/>
        <v>Anne Müller</v>
      </c>
      <c r="E726">
        <v>31</v>
      </c>
      <c r="F726" s="7">
        <f t="shared" si="90"/>
        <v>31</v>
      </c>
      <c r="G726" t="s">
        <v>18</v>
      </c>
      <c r="H726" s="7" t="str">
        <f t="shared" si="91"/>
        <v>United Kingdom</v>
      </c>
      <c r="I726" t="s">
        <v>682</v>
      </c>
      <c r="J726" s="7" t="str">
        <f>TEXT(
  IFERROR(
    DATEVALUE(SUBSTITUTE(SUBSTITUTE(TRIM(I726),"T"," "),"Z","")),
    IFERROR(
      DATE(
        RIGHT(TRIM(I726),4),
        MID(TRIM(I726),4,2),
        LEFT(TRIM(I726),2)
      ),
      DATE(
        VALUE(RIGHT(TRIM(I726),4)),
        MATCH(LEFT(TRIM(I726),FIND(" ",TRIM(I726))-1),
          {"January","February","March","April","May","June","July","August","September","October","November","December"},0),
        VALUE(MID(TRIM(I726),
          FIND(" ",TRIM(I726))+1,
          FIND(" ",TRIM(I726),FIND(" ",TRIM(I726))+1)-FIND(" ",TRIM(I726))-1))
      )
    )
  ),
"yyyy-mm-dd")</f>
        <v>2023-06-15</v>
      </c>
      <c r="K726" s="5" t="str">
        <f t="shared" si="92"/>
        <v>Jun</v>
      </c>
      <c r="L726">
        <v>1678963231</v>
      </c>
      <c r="M726" s="11">
        <f t="shared" si="93"/>
        <v>45001.444803240738</v>
      </c>
      <c r="N726">
        <v>1151.93</v>
      </c>
      <c r="O726" s="7">
        <f t="shared" si="94"/>
        <v>1151.93</v>
      </c>
      <c r="P726" t="s">
        <v>33</v>
      </c>
      <c r="Q726" s="7" t="str">
        <f t="shared" si="95"/>
        <v>Frequent buyer n</v>
      </c>
    </row>
    <row r="727" spans="1:17">
      <c r="A727">
        <v>1828</v>
      </c>
      <c r="B727" t="s">
        <v>28</v>
      </c>
      <c r="C727" s="9" t="str">
        <f t="shared" si="88"/>
        <v>Maria Lopez</v>
      </c>
      <c r="D727" s="7" t="str">
        <f t="shared" si="89"/>
        <v>Maria Lopez</v>
      </c>
      <c r="E727">
        <v>40</v>
      </c>
      <c r="F727" s="7">
        <f t="shared" si="90"/>
        <v>40</v>
      </c>
      <c r="G727" t="s">
        <v>111</v>
      </c>
      <c r="H727" s="7" t="str">
        <f t="shared" si="91"/>
        <v>South Korea</v>
      </c>
      <c r="I727" t="s">
        <v>265</v>
      </c>
      <c r="J727" s="7" t="str">
        <f>TEXT(
  IFERROR(
    DATEVALUE(SUBSTITUTE(SUBSTITUTE(TRIM(I727),"T"," "),"Z","")),
    IFERROR(
      DATE(
        RIGHT(TRIM(I727),4),
        MID(TRIM(I727),4,2),
        LEFT(TRIM(I727),2)
      ),
      DATE(
        VALUE(RIGHT(TRIM(I727),4)),
        MATCH(LEFT(TRIM(I727),FIND(" ",TRIM(I727))-1),
          {"January","February","March","April","May","June","July","August","September","October","November","December"},0),
        VALUE(MID(TRIM(I727),
          FIND(" ",TRIM(I727))+1,
          FIND(" ",TRIM(I727),FIND(" ",TRIM(I727))+1)-FIND(" ",TRIM(I727))-1))
      )
    )
  ),
"yyyy-mm-dd")</f>
        <v>2023-05-21</v>
      </c>
      <c r="K727" s="5" t="str">
        <f t="shared" si="92"/>
        <v>May</v>
      </c>
      <c r="L727">
        <v>1699989412</v>
      </c>
      <c r="M727" s="11">
        <f t="shared" si="93"/>
        <v>45244.803379629629</v>
      </c>
      <c r="N727">
        <v>1059.46</v>
      </c>
      <c r="O727" s="7">
        <f t="shared" si="94"/>
        <v>1059.46</v>
      </c>
      <c r="P727" t="s">
        <v>58</v>
      </c>
      <c r="Q727" s="7" t="str">
        <f t="shared" si="95"/>
        <v>Student account</v>
      </c>
    </row>
    <row r="728" spans="1:17">
      <c r="A728">
        <v>1219</v>
      </c>
      <c r="B728" t="s">
        <v>146</v>
      </c>
      <c r="C728" s="9" t="str">
        <f t="shared" si="88"/>
        <v>Li Wei</v>
      </c>
      <c r="D728" s="7" t="str">
        <f t="shared" si="89"/>
        <v xml:space="preserve"> Li Wei </v>
      </c>
      <c r="F728" s="7">
        <f t="shared" si="90"/>
        <v>43</v>
      </c>
      <c r="G728" t="s">
        <v>60</v>
      </c>
      <c r="H728" s="7" t="str">
        <f t="shared" si="91"/>
        <v>Egypt</v>
      </c>
      <c r="I728" t="s">
        <v>683</v>
      </c>
      <c r="J728" s="7" t="str">
        <f>TEXT(
  IFERROR(
    DATEVALUE(SUBSTITUTE(SUBSTITUTE(TRIM(I728),"T"," "),"Z","")),
    IFERROR(
      DATE(
        RIGHT(TRIM(I728),4),
        MID(TRIM(I728),4,2),
        LEFT(TRIM(I728),2)
      ),
      DATE(
        VALUE(RIGHT(TRIM(I728),4)),
        MATCH(LEFT(TRIM(I728),FIND(" ",TRIM(I728))-1),
          {"January","February","March","April","May","June","July","August","September","October","November","December"},0),
        VALUE(MID(TRIM(I728),
          FIND(" ",TRIM(I728))+1,
          FIND(" ",TRIM(I728),FIND(" ",TRIM(I728))+1)-FIND(" ",TRIM(I728))-1))
      )
    )
  ),
"yyyy-mm-dd")</f>
        <v>2023-01-24</v>
      </c>
      <c r="K728" s="5" t="str">
        <f t="shared" si="92"/>
        <v>Jan</v>
      </c>
      <c r="L728">
        <v>1695602770</v>
      </c>
      <c r="M728" s="11">
        <f t="shared" si="93"/>
        <v>45194.032060185185</v>
      </c>
      <c r="O728" s="7">
        <f t="shared" si="94"/>
        <v>0</v>
      </c>
      <c r="P728" t="s">
        <v>40</v>
      </c>
      <c r="Q728" s="7" t="str">
        <f t="shared" si="95"/>
        <v xml:space="preserve">VIP client </v>
      </c>
    </row>
    <row r="729" spans="1:17">
      <c r="A729">
        <v>1181</v>
      </c>
      <c r="B729" t="s">
        <v>64</v>
      </c>
      <c r="C729" s="9" t="str">
        <f t="shared" si="88"/>
        <v>Ethan Clark</v>
      </c>
      <c r="D729" s="7" t="str">
        <f t="shared" si="89"/>
        <v xml:space="preserve"> Ethan Clark </v>
      </c>
      <c r="E729">
        <v>52</v>
      </c>
      <c r="F729" s="7">
        <f t="shared" si="90"/>
        <v>52</v>
      </c>
      <c r="G729" t="s">
        <v>54</v>
      </c>
      <c r="H729" s="7" t="str">
        <f t="shared" si="91"/>
        <v>Brazil</v>
      </c>
      <c r="I729" t="s">
        <v>432</v>
      </c>
      <c r="J729" s="7" t="str">
        <f>TEXT(
  IFERROR(
    DATEVALUE(SUBSTITUTE(SUBSTITUTE(TRIM(I729),"T"," "),"Z","")),
    IFERROR(
      DATE(
        RIGHT(TRIM(I729),4),
        MID(TRIM(I729),4,2),
        LEFT(TRIM(I729),2)
      ),
      DATE(
        VALUE(RIGHT(TRIM(I729),4)),
        MATCH(LEFT(TRIM(I729),FIND(" ",TRIM(I729))-1),
          {"January","February","March","April","May","June","July","August","September","October","November","December"},0),
        VALUE(MID(TRIM(I729),
          FIND(" ",TRIM(I729))+1,
          FIND(" ",TRIM(I729),FIND(" ",TRIM(I729))+1)-FIND(" ",TRIM(I729))-1))
      )
    )
  ),
"yyyy-mm-dd")</f>
        <v>2023-10-13</v>
      </c>
      <c r="K729" s="5" t="str">
        <f t="shared" si="92"/>
        <v>Oct</v>
      </c>
      <c r="L729">
        <v>1699948372</v>
      </c>
      <c r="M729" s="11">
        <f t="shared" si="93"/>
        <v>45244.328379629631</v>
      </c>
      <c r="N729">
        <v>444.21</v>
      </c>
      <c r="O729" s="7">
        <f t="shared" si="94"/>
        <v>444.21</v>
      </c>
      <c r="P729" t="s">
        <v>33</v>
      </c>
      <c r="Q729" s="7" t="str">
        <f t="shared" si="95"/>
        <v>Frequent buyer n</v>
      </c>
    </row>
    <row r="730" spans="1:17">
      <c r="A730">
        <v>1099</v>
      </c>
      <c r="B730" t="s">
        <v>50</v>
      </c>
      <c r="C730" s="9" t="str">
        <f t="shared" si="88"/>
        <v>Ahmed Hassan</v>
      </c>
      <c r="D730" s="7" t="str">
        <f t="shared" si="89"/>
        <v xml:space="preserve"> Ahmed Hassan </v>
      </c>
      <c r="E730">
        <v>50</v>
      </c>
      <c r="F730" s="7">
        <f t="shared" si="90"/>
        <v>50</v>
      </c>
      <c r="G730" t="s">
        <v>44</v>
      </c>
      <c r="H730" s="7" t="str">
        <f t="shared" si="91"/>
        <v>UAE</v>
      </c>
      <c r="I730" t="s">
        <v>684</v>
      </c>
      <c r="J730" s="7" t="str">
        <f>TEXT(
  IFERROR(
    DATEVALUE(SUBSTITUTE(SUBSTITUTE(TRIM(I730),"T"," "),"Z","")),
    IFERROR(
      DATE(
        RIGHT(TRIM(I730),4),
        MID(TRIM(I730),4,2),
        LEFT(TRIM(I730),2)
      ),
      DATE(
        VALUE(RIGHT(TRIM(I730),4)),
        MATCH(LEFT(TRIM(I730),FIND(" ",TRIM(I730))-1),
          {"January","February","March","April","May","June","July","August","September","October","November","December"},0),
        VALUE(MID(TRIM(I730),
          FIND(" ",TRIM(I730))+1,
          FIND(" ",TRIM(I730),FIND(" ",TRIM(I730))+1)-FIND(" ",TRIM(I730))-1))
      )
    )
  ),
"yyyy-mm-dd")</f>
        <v>2023-01-17</v>
      </c>
      <c r="K730" s="5" t="str">
        <f t="shared" si="92"/>
        <v>Jan</v>
      </c>
      <c r="L730">
        <v>1701819733</v>
      </c>
      <c r="M730" s="11">
        <f t="shared" si="93"/>
        <v>45265.987650462965</v>
      </c>
      <c r="O730" s="7">
        <f t="shared" si="94"/>
        <v>0</v>
      </c>
      <c r="P730" t="s">
        <v>58</v>
      </c>
      <c r="Q730" s="7" t="str">
        <f t="shared" si="95"/>
        <v>Student account</v>
      </c>
    </row>
    <row r="731" spans="1:17">
      <c r="A731">
        <v>1313</v>
      </c>
      <c r="B731" t="s">
        <v>104</v>
      </c>
      <c r="C731" s="9" t="str">
        <f t="shared" si="88"/>
        <v>David Brown</v>
      </c>
      <c r="D731" s="7" t="str">
        <f t="shared" si="89"/>
        <v>David Brown</v>
      </c>
      <c r="E731">
        <v>31</v>
      </c>
      <c r="F731" s="7">
        <f t="shared" si="90"/>
        <v>31</v>
      </c>
      <c r="G731" t="s">
        <v>18</v>
      </c>
      <c r="H731" s="7" t="str">
        <f t="shared" si="91"/>
        <v>United Kingdom</v>
      </c>
      <c r="I731" t="s">
        <v>645</v>
      </c>
      <c r="J731" s="7" t="str">
        <f>TEXT(
  IFERROR(
    DATEVALUE(SUBSTITUTE(SUBSTITUTE(TRIM(I731),"T"," "),"Z","")),
    IFERROR(
      DATE(
        RIGHT(TRIM(I731),4),
        MID(TRIM(I731),4,2),
        LEFT(TRIM(I731),2)
      ),
      DATE(
        VALUE(RIGHT(TRIM(I731),4)),
        MATCH(LEFT(TRIM(I731),FIND(" ",TRIM(I731))-1),
          {"January","February","March","April","May","June","July","August","September","October","November","December"},0),
        VALUE(MID(TRIM(I731),
          FIND(" ",TRIM(I731))+1,
          FIND(" ",TRIM(I731),FIND(" ",TRIM(I731))+1)-FIND(" ",TRIM(I731))-1))
      )
    )
  ),
"yyyy-mm-dd")</f>
        <v>2023-01-14</v>
      </c>
      <c r="K731" s="5" t="str">
        <f t="shared" si="92"/>
        <v>Jan</v>
      </c>
      <c r="L731">
        <v>1692721132</v>
      </c>
      <c r="M731" s="11">
        <f t="shared" si="93"/>
        <v>45160.679768518516</v>
      </c>
      <c r="N731">
        <v>1417.3</v>
      </c>
      <c r="O731" s="7">
        <f t="shared" si="94"/>
        <v>1417.3</v>
      </c>
      <c r="P731" t="s">
        <v>33</v>
      </c>
      <c r="Q731" s="7" t="str">
        <f t="shared" si="95"/>
        <v>Frequent buyer n</v>
      </c>
    </row>
    <row r="732" spans="1:17">
      <c r="A732">
        <v>2107</v>
      </c>
      <c r="B732" t="s">
        <v>90</v>
      </c>
      <c r="C732" s="9" t="str">
        <f t="shared" si="88"/>
        <v>Olivia Wilson</v>
      </c>
      <c r="D732" s="7" t="str">
        <f t="shared" si="89"/>
        <v>Olivia Wilson</v>
      </c>
      <c r="E732">
        <v>38</v>
      </c>
      <c r="F732" s="7">
        <f t="shared" si="90"/>
        <v>38</v>
      </c>
      <c r="G732" t="s">
        <v>22</v>
      </c>
      <c r="H732" s="7" t="str">
        <f t="shared" si="91"/>
        <v>Germany</v>
      </c>
      <c r="I732" t="s">
        <v>685</v>
      </c>
      <c r="J732" s="7" t="str">
        <f>TEXT(
  IFERROR(
    DATEVALUE(SUBSTITUTE(SUBSTITUTE(TRIM(I732),"T"," "),"Z","")),
    IFERROR(
      DATE(
        RIGHT(TRIM(I732),4),
        MID(TRIM(I732),4,2),
        LEFT(TRIM(I732),2)
      ),
      DATE(
        VALUE(RIGHT(TRIM(I732),4)),
        MATCH(LEFT(TRIM(I732),FIND(" ",TRIM(I732))-1),
          {"January","February","March","April","May","June","July","August","September","October","November","December"},0),
        VALUE(MID(TRIM(I732),
          FIND(" ",TRIM(I732))+1,
          FIND(" ",TRIM(I732),FIND(" ",TRIM(I732))+1)-FIND(" ",TRIM(I732))-1))
      )
    )
  ),
"yyyy-mm-dd")</f>
        <v>2023-04-14</v>
      </c>
      <c r="K732" s="5" t="str">
        <f t="shared" si="92"/>
        <v>Apr</v>
      </c>
      <c r="L732">
        <v>1678003066</v>
      </c>
      <c r="M732" s="11">
        <f t="shared" si="93"/>
        <v>44990.331782407404</v>
      </c>
      <c r="O732" s="7">
        <f t="shared" si="94"/>
        <v>0</v>
      </c>
      <c r="P732" t="s">
        <v>40</v>
      </c>
      <c r="Q732" s="7" t="str">
        <f t="shared" si="95"/>
        <v xml:space="preserve">VIP client </v>
      </c>
    </row>
    <row r="733" spans="1:17">
      <c r="A733">
        <v>1101</v>
      </c>
      <c r="B733" t="s">
        <v>210</v>
      </c>
      <c r="C733" s="9" t="str">
        <f t="shared" si="88"/>
        <v>Ethan Clark</v>
      </c>
      <c r="D733" s="7" t="str">
        <f t="shared" si="89"/>
        <v>Ethan Clark</v>
      </c>
      <c r="F733" s="7">
        <f t="shared" si="90"/>
        <v>43</v>
      </c>
      <c r="G733" t="s">
        <v>18</v>
      </c>
      <c r="H733" s="7" t="str">
        <f t="shared" si="91"/>
        <v>United Kingdom</v>
      </c>
      <c r="I733" t="s">
        <v>686</v>
      </c>
      <c r="J733" s="7" t="str">
        <f>TEXT(
  IFERROR(
    DATEVALUE(SUBSTITUTE(SUBSTITUTE(TRIM(I733),"T"," "),"Z","")),
    IFERROR(
      DATE(
        RIGHT(TRIM(I733),4),
        MID(TRIM(I733),4,2),
        LEFT(TRIM(I733),2)
      ),
      DATE(
        VALUE(RIGHT(TRIM(I733),4)),
        MATCH(LEFT(TRIM(I733),FIND(" ",TRIM(I733))-1),
          {"January","February","March","April","May","June","July","August","September","October","November","December"},0),
        VALUE(MID(TRIM(I733),
          FIND(" ",TRIM(I733))+1,
          FIND(" ",TRIM(I733),FIND(" ",TRIM(I733))+1)-FIND(" ",TRIM(I733))-1))
      )
    )
  ),
"yyyy-mm-dd")</f>
        <v>2023-02-17</v>
      </c>
      <c r="K733" s="5" t="str">
        <f t="shared" si="92"/>
        <v>Feb</v>
      </c>
      <c r="L733">
        <v>1689526142</v>
      </c>
      <c r="M733" s="11">
        <f t="shared" si="93"/>
        <v>45123.700717592597</v>
      </c>
      <c r="N733">
        <v>1370.79</v>
      </c>
      <c r="O733" s="7">
        <f t="shared" si="94"/>
        <v>1370.79</v>
      </c>
      <c r="P733" t="s">
        <v>33</v>
      </c>
      <c r="Q733" s="7" t="str">
        <f t="shared" si="95"/>
        <v>Frequent buyer n</v>
      </c>
    </row>
    <row r="734" spans="1:17">
      <c r="A734">
        <v>1523</v>
      </c>
      <c r="B734" t="s">
        <v>50</v>
      </c>
      <c r="C734" s="9" t="str">
        <f t="shared" si="88"/>
        <v>Ahmed Hassan</v>
      </c>
      <c r="D734" s="7" t="str">
        <f t="shared" si="89"/>
        <v xml:space="preserve"> Ahmed Hassan </v>
      </c>
      <c r="E734">
        <v>47</v>
      </c>
      <c r="F734" s="7">
        <f t="shared" si="90"/>
        <v>47</v>
      </c>
      <c r="G734" t="s">
        <v>116</v>
      </c>
      <c r="H734" s="7" t="str">
        <f t="shared" si="91"/>
        <v>China</v>
      </c>
      <c r="I734" t="s">
        <v>687</v>
      </c>
      <c r="J734" s="7" t="str">
        <f>TEXT(
  IFERROR(
    DATEVALUE(SUBSTITUTE(SUBSTITUTE(TRIM(I734),"T"," "),"Z","")),
    IFERROR(
      DATE(
        RIGHT(TRIM(I734),4),
        MID(TRIM(I734),4,2),
        LEFT(TRIM(I734),2)
      ),
      DATE(
        VALUE(RIGHT(TRIM(I734),4)),
        MATCH(LEFT(TRIM(I734),FIND(" ",TRIM(I734))-1),
          {"January","February","March","April","May","June","July","August","September","October","November","December"},0),
        VALUE(MID(TRIM(I734),
          FIND(" ",TRIM(I734))+1,
          FIND(" ",TRIM(I734),FIND(" ",TRIM(I734))+1)-FIND(" ",TRIM(I734))-1))
      )
    )
  ),
"yyyy-mm-dd")</f>
        <v>2023-08-04</v>
      </c>
      <c r="K734" s="5" t="str">
        <f t="shared" si="92"/>
        <v>Aug</v>
      </c>
      <c r="L734">
        <v>1701296693</v>
      </c>
      <c r="M734" s="11">
        <f t="shared" si="93"/>
        <v>45259.933946759258</v>
      </c>
      <c r="O734" s="7">
        <f t="shared" si="94"/>
        <v>0</v>
      </c>
      <c r="P734" t="s">
        <v>58</v>
      </c>
      <c r="Q734" s="7" t="str">
        <f t="shared" si="95"/>
        <v>Student account</v>
      </c>
    </row>
    <row r="735" spans="1:17">
      <c r="A735">
        <v>2170</v>
      </c>
      <c r="B735" t="s">
        <v>21</v>
      </c>
      <c r="C735" s="9" t="str">
        <f t="shared" si="88"/>
        <v>David Brown</v>
      </c>
      <c r="D735" s="7" t="str">
        <f t="shared" si="89"/>
        <v xml:space="preserve"> David Brown </v>
      </c>
      <c r="E735">
        <v>50</v>
      </c>
      <c r="F735" s="7">
        <f t="shared" si="90"/>
        <v>50</v>
      </c>
      <c r="G735" t="s">
        <v>38</v>
      </c>
      <c r="H735" s="7" t="str">
        <f t="shared" si="91"/>
        <v>Spain</v>
      </c>
      <c r="I735" t="s">
        <v>688</v>
      </c>
      <c r="J735" s="7" t="str">
        <f>TEXT(
  IFERROR(
    DATEVALUE(SUBSTITUTE(SUBSTITUTE(TRIM(I735),"T"," "),"Z","")),
    IFERROR(
      DATE(
        RIGHT(TRIM(I735),4),
        MID(TRIM(I735),4,2),
        LEFT(TRIM(I735),2)
      ),
      DATE(
        VALUE(RIGHT(TRIM(I735),4)),
        MATCH(LEFT(TRIM(I735),FIND(" ",TRIM(I735))-1),
          {"January","February","March","April","May","June","July","August","September","October","November","December"},0),
        VALUE(MID(TRIM(I735),
          FIND(" ",TRIM(I735))+1,
          FIND(" ",TRIM(I735),FIND(" ",TRIM(I735))+1)-FIND(" ",TRIM(I735))-1))
      )
    )
  ),
"yyyy-mm-dd")</f>
        <v>2023-12-04</v>
      </c>
      <c r="K735" s="5" t="str">
        <f t="shared" si="92"/>
        <v>Dec</v>
      </c>
      <c r="L735">
        <v>1697461158</v>
      </c>
      <c r="M735" s="11">
        <f t="shared" si="93"/>
        <v>45215.541180555556</v>
      </c>
      <c r="O735" s="7">
        <f t="shared" si="94"/>
        <v>0</v>
      </c>
      <c r="P735" t="s">
        <v>58</v>
      </c>
      <c r="Q735" s="7" t="str">
        <f t="shared" si="95"/>
        <v>Student account</v>
      </c>
    </row>
    <row r="736" spans="1:17">
      <c r="A736">
        <v>1382</v>
      </c>
      <c r="B736" t="s">
        <v>37</v>
      </c>
      <c r="C736" s="9" t="str">
        <f t="shared" si="88"/>
        <v>Akira Tanaka</v>
      </c>
      <c r="D736" s="7" t="str">
        <f t="shared" si="89"/>
        <v>Akira Tanaka</v>
      </c>
      <c r="F736" s="7">
        <f t="shared" si="90"/>
        <v>43</v>
      </c>
      <c r="G736" t="s">
        <v>18</v>
      </c>
      <c r="H736" s="7" t="str">
        <f t="shared" si="91"/>
        <v>United Kingdom</v>
      </c>
      <c r="I736" t="s">
        <v>689</v>
      </c>
      <c r="J736" s="7" t="str">
        <f>TEXT(
  IFERROR(
    DATEVALUE(SUBSTITUTE(SUBSTITUTE(TRIM(I736),"T"," "),"Z","")),
    IFERROR(
      DATE(
        RIGHT(TRIM(I736),4),
        MID(TRIM(I736),4,2),
        LEFT(TRIM(I736),2)
      ),
      DATE(
        VALUE(RIGHT(TRIM(I736),4)),
        MATCH(LEFT(TRIM(I736),FIND(" ",TRIM(I736))-1),
          {"January","February","March","April","May","June","July","August","September","October","November","December"},0),
        VALUE(MID(TRIM(I736),
          FIND(" ",TRIM(I736))+1,
          FIND(" ",TRIM(I736),FIND(" ",TRIM(I736))+1)-FIND(" ",TRIM(I736))-1))
      )
    )
  ),
"yyyy-mm-dd")</f>
        <v>2023-09-12</v>
      </c>
      <c r="K736" s="5" t="str">
        <f t="shared" si="92"/>
        <v>Sep</v>
      </c>
      <c r="L736">
        <v>1698135068</v>
      </c>
      <c r="M736" s="11">
        <f t="shared" si="93"/>
        <v>45223.341064814813</v>
      </c>
      <c r="N736">
        <v>783.42</v>
      </c>
      <c r="O736" s="7">
        <f t="shared" si="94"/>
        <v>783.42</v>
      </c>
      <c r="P736" t="s">
        <v>84</v>
      </c>
      <c r="Q736" s="7" t="str">
        <f t="shared" si="95"/>
        <v xml:space="preserve">Newsletter subscriber </v>
      </c>
    </row>
    <row r="737" spans="1:17">
      <c r="A737">
        <v>1874</v>
      </c>
      <c r="B737" t="s">
        <v>114</v>
      </c>
      <c r="C737" s="9" t="str">
        <f t="shared" si="88"/>
        <v>Liam O’Connor</v>
      </c>
      <c r="D737" s="7" t="str">
        <f t="shared" si="89"/>
        <v xml:space="preserve"> Liam O’Connor </v>
      </c>
      <c r="E737">
        <v>52</v>
      </c>
      <c r="F737" s="7">
        <f t="shared" si="90"/>
        <v>52</v>
      </c>
      <c r="G737" t="s">
        <v>38</v>
      </c>
      <c r="H737" s="7" t="str">
        <f t="shared" si="91"/>
        <v>Spain</v>
      </c>
      <c r="I737" t="s">
        <v>690</v>
      </c>
      <c r="J737" s="7" t="str">
        <f>TEXT(
  IFERROR(
    DATEVALUE(SUBSTITUTE(SUBSTITUTE(TRIM(I737),"T"," "),"Z","")),
    IFERROR(
      DATE(
        RIGHT(TRIM(I737),4),
        MID(TRIM(I737),4,2),
        LEFT(TRIM(I737),2)
      ),
      DATE(
        VALUE(RIGHT(TRIM(I737),4)),
        MATCH(LEFT(TRIM(I737),FIND(" ",TRIM(I737))-1),
          {"January","February","March","April","May","June","July","August","September","October","November","December"},0),
        VALUE(MID(TRIM(I737),
          FIND(" ",TRIM(I737))+1,
          FIND(" ",TRIM(I737),FIND(" ",TRIM(I737))+1)-FIND(" ",TRIM(I737))-1))
      )
    )
  ),
"yyyy-mm-dd")</f>
        <v>2023-08-23</v>
      </c>
      <c r="K737" s="5" t="str">
        <f t="shared" si="92"/>
        <v>Aug</v>
      </c>
      <c r="L737">
        <v>1676559851</v>
      </c>
      <c r="M737" s="11">
        <f t="shared" si="93"/>
        <v>44973.627905092595</v>
      </c>
      <c r="O737" s="7">
        <f t="shared" si="94"/>
        <v>0</v>
      </c>
      <c r="P737" t="s">
        <v>33</v>
      </c>
      <c r="Q737" s="7" t="str">
        <f t="shared" si="95"/>
        <v>Frequent buyer n</v>
      </c>
    </row>
    <row r="738" spans="1:17">
      <c r="A738">
        <v>1712</v>
      </c>
      <c r="B738" t="s">
        <v>107</v>
      </c>
      <c r="C738" s="9" t="str">
        <f t="shared" si="88"/>
        <v>Fatima Ali</v>
      </c>
      <c r="D738" s="7" t="str">
        <f t="shared" si="89"/>
        <v>Fatima Ali</v>
      </c>
      <c r="E738">
        <v>23</v>
      </c>
      <c r="F738" s="7">
        <f t="shared" si="90"/>
        <v>23</v>
      </c>
      <c r="G738" t="s">
        <v>48</v>
      </c>
      <c r="H738" s="7" t="str">
        <f t="shared" si="91"/>
        <v>France</v>
      </c>
      <c r="I738" t="s">
        <v>691</v>
      </c>
      <c r="J738" s="7" t="str">
        <f>TEXT(
  IFERROR(
    DATEVALUE(SUBSTITUTE(SUBSTITUTE(TRIM(I738),"T"," "),"Z","")),
    IFERROR(
      DATE(
        RIGHT(TRIM(I738),4),
        MID(TRIM(I738),4,2),
        LEFT(TRIM(I738),2)
      ),
      DATE(
        VALUE(RIGHT(TRIM(I738),4)),
        MATCH(LEFT(TRIM(I738),FIND(" ",TRIM(I738))-1),
          {"January","February","March","April","May","June","July","August","September","October","November","December"},0),
        VALUE(MID(TRIM(I738),
          FIND(" ",TRIM(I738))+1,
          FIND(" ",TRIM(I738),FIND(" ",TRIM(I738))+1)-FIND(" ",TRIM(I738))-1))
      )
    )
  ),
"yyyy-mm-dd")</f>
        <v>2023-07-23</v>
      </c>
      <c r="K738" s="5" t="str">
        <f t="shared" si="92"/>
        <v>Jul</v>
      </c>
      <c r="L738">
        <v>1679063020</v>
      </c>
      <c r="M738" s="11">
        <f t="shared" si="93"/>
        <v>45002.599768518514</v>
      </c>
      <c r="N738">
        <v>221.15</v>
      </c>
      <c r="O738" s="7">
        <f t="shared" si="94"/>
        <v>221.15</v>
      </c>
      <c r="P738" t="s">
        <v>20</v>
      </c>
      <c r="Q738" s="7" t="str">
        <f t="shared" si="95"/>
        <v xml:space="preserve">Great customer </v>
      </c>
    </row>
    <row r="739" spans="1:17">
      <c r="A739">
        <v>1823</v>
      </c>
      <c r="B739" t="s">
        <v>140</v>
      </c>
      <c r="C739" s="9" t="str">
        <f t="shared" si="88"/>
        <v>Anne Müller</v>
      </c>
      <c r="D739" s="7" t="str">
        <f t="shared" si="89"/>
        <v>Anne Müller</v>
      </c>
      <c r="E739">
        <v>55</v>
      </c>
      <c r="F739" s="7">
        <f t="shared" si="90"/>
        <v>55</v>
      </c>
      <c r="G739" t="s">
        <v>22</v>
      </c>
      <c r="H739" s="7" t="str">
        <f t="shared" si="91"/>
        <v>Germany</v>
      </c>
      <c r="I739" t="s">
        <v>692</v>
      </c>
      <c r="J739" s="7" t="str">
        <f>TEXT(
  IFERROR(
    DATEVALUE(SUBSTITUTE(SUBSTITUTE(TRIM(I739),"T"," "),"Z","")),
    IFERROR(
      DATE(
        RIGHT(TRIM(I739),4),
        MID(TRIM(I739),4,2),
        LEFT(TRIM(I739),2)
      ),
      DATE(
        VALUE(RIGHT(TRIM(I739),4)),
        MATCH(LEFT(TRIM(I739),FIND(" ",TRIM(I739))-1),
          {"January","February","March","April","May","June","July","August","September","October","November","December"},0),
        VALUE(MID(TRIM(I739),
          FIND(" ",TRIM(I739))+1,
          FIND(" ",TRIM(I739),FIND(" ",TRIM(I739))+1)-FIND(" ",TRIM(I739))-1))
      )
    )
  ),
"yyyy-mm-dd")</f>
        <v>2023-08-16</v>
      </c>
      <c r="K739" s="5" t="str">
        <f t="shared" si="92"/>
        <v>Aug</v>
      </c>
      <c r="L739">
        <v>1695080566</v>
      </c>
      <c r="M739" s="11">
        <f t="shared" si="93"/>
        <v>45187.988032407404</v>
      </c>
      <c r="O739" s="7">
        <f t="shared" si="94"/>
        <v>0</v>
      </c>
      <c r="P739" t="s">
        <v>20</v>
      </c>
      <c r="Q739" s="7" t="str">
        <f t="shared" si="95"/>
        <v xml:space="preserve">Great customer </v>
      </c>
    </row>
    <row r="740" spans="1:17">
      <c r="A740">
        <v>1241</v>
      </c>
      <c r="B740" t="s">
        <v>80</v>
      </c>
      <c r="C740" s="9" t="str">
        <f t="shared" si="88"/>
        <v>Ahmed Hassan</v>
      </c>
      <c r="D740" s="7" t="str">
        <f t="shared" si="89"/>
        <v>Ahmed Hassan</v>
      </c>
      <c r="E740">
        <v>58</v>
      </c>
      <c r="F740" s="7">
        <f t="shared" si="90"/>
        <v>58</v>
      </c>
      <c r="G740" t="s">
        <v>60</v>
      </c>
      <c r="H740" s="7" t="str">
        <f t="shared" si="91"/>
        <v>Egypt</v>
      </c>
      <c r="I740" t="s">
        <v>602</v>
      </c>
      <c r="J740" s="7" t="str">
        <f>TEXT(
  IFERROR(
    DATEVALUE(SUBSTITUTE(SUBSTITUTE(TRIM(I740),"T"," "),"Z","")),
    IFERROR(
      DATE(
        RIGHT(TRIM(I740),4),
        MID(TRIM(I740),4,2),
        LEFT(TRIM(I740),2)
      ),
      DATE(
        VALUE(RIGHT(TRIM(I740),4)),
        MATCH(LEFT(TRIM(I740),FIND(" ",TRIM(I740))-1),
          {"January","February","March","April","May","June","July","August","September","October","November","December"},0),
        VALUE(MID(TRIM(I740),
          FIND(" ",TRIM(I740))+1,
          FIND(" ",TRIM(I740),FIND(" ",TRIM(I740))+1)-FIND(" ",TRIM(I740))-1))
      )
    )
  ),
"yyyy-mm-dd")</f>
        <v>2023-04-29</v>
      </c>
      <c r="K740" s="5" t="str">
        <f t="shared" si="92"/>
        <v>Apr</v>
      </c>
      <c r="L740">
        <v>1682550809</v>
      </c>
      <c r="M740" s="11">
        <f t="shared" si="93"/>
        <v>45042.96769675926</v>
      </c>
      <c r="O740" s="7">
        <f t="shared" si="94"/>
        <v>0</v>
      </c>
      <c r="P740" t="s">
        <v>33</v>
      </c>
      <c r="Q740" s="7" t="str">
        <f t="shared" si="95"/>
        <v>Frequent buyer n</v>
      </c>
    </row>
    <row r="741" spans="1:17">
      <c r="A741">
        <v>1171</v>
      </c>
      <c r="B741" t="s">
        <v>94</v>
      </c>
      <c r="C741" s="9" t="str">
        <f t="shared" si="88"/>
        <v>John Smith</v>
      </c>
      <c r="D741" s="7" t="str">
        <f t="shared" si="89"/>
        <v xml:space="preserve"> John Smith </v>
      </c>
      <c r="E741">
        <v>33</v>
      </c>
      <c r="F741" s="7">
        <f t="shared" si="90"/>
        <v>33</v>
      </c>
      <c r="G741" t="s">
        <v>60</v>
      </c>
      <c r="H741" s="7" t="str">
        <f t="shared" si="91"/>
        <v>Egypt</v>
      </c>
      <c r="I741" t="s">
        <v>693</v>
      </c>
      <c r="J741" s="7" t="str">
        <f>TEXT(
  IFERROR(
    DATEVALUE(SUBSTITUTE(SUBSTITUTE(TRIM(I741),"T"," "),"Z","")),
    IFERROR(
      DATE(
        RIGHT(TRIM(I741),4),
        MID(TRIM(I741),4,2),
        LEFT(TRIM(I741),2)
      ),
      DATE(
        VALUE(RIGHT(TRIM(I741),4)),
        MATCH(LEFT(TRIM(I741),FIND(" ",TRIM(I741))-1),
          {"January","February","March","April","May","June","July","August","September","October","November","December"},0),
        VALUE(MID(TRIM(I741),
          FIND(" ",TRIM(I741))+1,
          FIND(" ",TRIM(I741),FIND(" ",TRIM(I741))+1)-FIND(" ",TRIM(I741))-1))
      )
    )
  ),
"yyyy-mm-dd")</f>
        <v>2023-04-24</v>
      </c>
      <c r="K741" s="5" t="str">
        <f t="shared" si="92"/>
        <v>Apr</v>
      </c>
      <c r="L741">
        <v>1687078806</v>
      </c>
      <c r="M741" s="11">
        <f t="shared" si="93"/>
        <v>45095.375069444446</v>
      </c>
      <c r="N741">
        <v>1001.79</v>
      </c>
      <c r="O741" s="7">
        <f t="shared" si="94"/>
        <v>1001.79</v>
      </c>
      <c r="P741" t="s">
        <v>36</v>
      </c>
      <c r="Q741" s="7" t="str">
        <f t="shared" si="95"/>
        <v>Regular shopper</v>
      </c>
    </row>
    <row r="742" spans="1:17">
      <c r="A742">
        <v>2149</v>
      </c>
      <c r="B742" t="s">
        <v>183</v>
      </c>
      <c r="C742" s="9" t="str">
        <f t="shared" si="88"/>
        <v>Mia Thompson</v>
      </c>
      <c r="D742" s="7" t="str">
        <f t="shared" si="89"/>
        <v>Mia Thompson</v>
      </c>
      <c r="E742">
        <v>56</v>
      </c>
      <c r="F742" s="7">
        <f t="shared" si="90"/>
        <v>56</v>
      </c>
      <c r="G742" t="s">
        <v>116</v>
      </c>
      <c r="H742" s="7" t="str">
        <f t="shared" si="91"/>
        <v>China</v>
      </c>
      <c r="I742" t="s">
        <v>694</v>
      </c>
      <c r="J742" s="7" t="str">
        <f>TEXT(
  IFERROR(
    DATEVALUE(SUBSTITUTE(SUBSTITUTE(TRIM(I742),"T"," "),"Z","")),
    IFERROR(
      DATE(
        RIGHT(TRIM(I742),4),
        MID(TRIM(I742),4,2),
        LEFT(TRIM(I742),2)
      ),
      DATE(
        VALUE(RIGHT(TRIM(I742),4)),
        MATCH(LEFT(TRIM(I742),FIND(" ",TRIM(I742))-1),
          {"January","February","March","April","May","June","July","August","September","October","November","December"},0),
        VALUE(MID(TRIM(I742),
          FIND(" ",TRIM(I742))+1,
          FIND(" ",TRIM(I742),FIND(" ",TRIM(I742))+1)-FIND(" ",TRIM(I742))-1))
      )
    )
  ),
"yyyy-mm-dd")</f>
        <v>2023-01-22</v>
      </c>
      <c r="K742" s="5" t="str">
        <f t="shared" si="92"/>
        <v>Jan</v>
      </c>
      <c r="L742">
        <v>1676141089</v>
      </c>
      <c r="M742" s="11">
        <f t="shared" si="93"/>
        <v>44968.781122685185</v>
      </c>
      <c r="N742">
        <v>889.61</v>
      </c>
      <c r="O742" s="7">
        <f t="shared" si="94"/>
        <v>889.61</v>
      </c>
      <c r="P742" t="s">
        <v>27</v>
      </c>
      <c r="Q742" s="7" t="str">
        <f t="shared" si="95"/>
        <v xml:space="preserve">Holiday signup </v>
      </c>
    </row>
    <row r="743" spans="1:17">
      <c r="A743">
        <v>1195</v>
      </c>
      <c r="B743" t="s">
        <v>140</v>
      </c>
      <c r="C743" s="9" t="str">
        <f t="shared" si="88"/>
        <v>Anne Müller</v>
      </c>
      <c r="D743" s="7" t="str">
        <f t="shared" si="89"/>
        <v>Anne Müller</v>
      </c>
      <c r="E743">
        <v>41</v>
      </c>
      <c r="F743" s="7">
        <f t="shared" si="90"/>
        <v>41</v>
      </c>
      <c r="G743" t="s">
        <v>44</v>
      </c>
      <c r="H743" s="7" t="str">
        <f t="shared" si="91"/>
        <v>UAE</v>
      </c>
      <c r="I743" t="s">
        <v>695</v>
      </c>
      <c r="J743" s="7" t="str">
        <f>TEXT(
  IFERROR(
    DATEVALUE(SUBSTITUTE(SUBSTITUTE(TRIM(I743),"T"," "),"Z","")),
    IFERROR(
      DATE(
        RIGHT(TRIM(I743),4),
        MID(TRIM(I743),4,2),
        LEFT(TRIM(I743),2)
      ),
      DATE(
        VALUE(RIGHT(TRIM(I743),4)),
        MATCH(LEFT(TRIM(I743),FIND(" ",TRIM(I743))-1),
          {"January","February","March","April","May","June","July","August","September","October","November","December"},0),
        VALUE(MID(TRIM(I743),
          FIND(" ",TRIM(I743))+1,
          FIND(" ",TRIM(I743),FIND(" ",TRIM(I743))+1)-FIND(" ",TRIM(I743))-1))
      )
    )
  ),
"yyyy-mm-dd")</f>
        <v>2023-07-21</v>
      </c>
      <c r="K743" s="5" t="str">
        <f t="shared" si="92"/>
        <v>Jul</v>
      </c>
      <c r="L743">
        <v>1684177603</v>
      </c>
      <c r="M743" s="11">
        <f t="shared" si="93"/>
        <v>45061.796331018515</v>
      </c>
      <c r="O743" s="7">
        <f t="shared" si="94"/>
        <v>0</v>
      </c>
      <c r="P743" t="s">
        <v>36</v>
      </c>
      <c r="Q743" s="7" t="str">
        <f t="shared" si="95"/>
        <v>Regular shopper</v>
      </c>
    </row>
    <row r="744" spans="1:17">
      <c r="A744">
        <v>2175</v>
      </c>
      <c r="B744" t="s">
        <v>50</v>
      </c>
      <c r="C744" s="9" t="str">
        <f t="shared" si="88"/>
        <v>Ahmed Hassan</v>
      </c>
      <c r="D744" s="7" t="str">
        <f t="shared" si="89"/>
        <v xml:space="preserve"> Ahmed Hassan </v>
      </c>
      <c r="E744">
        <v>58</v>
      </c>
      <c r="F744" s="7">
        <f t="shared" si="90"/>
        <v>58</v>
      </c>
      <c r="G744" t="s">
        <v>44</v>
      </c>
      <c r="H744" s="7" t="str">
        <f t="shared" si="91"/>
        <v>UAE</v>
      </c>
      <c r="I744" t="s">
        <v>696</v>
      </c>
      <c r="J744" s="7" t="str">
        <f>TEXT(
  IFERROR(
    DATEVALUE(SUBSTITUTE(SUBSTITUTE(TRIM(I744),"T"," "),"Z","")),
    IFERROR(
      DATE(
        RIGHT(TRIM(I744),4),
        MID(TRIM(I744),4,2),
        LEFT(TRIM(I744),2)
      ),
      DATE(
        VALUE(RIGHT(TRIM(I744),4)),
        MATCH(LEFT(TRIM(I744),FIND(" ",TRIM(I744))-1),
          {"January","February","March","April","May","June","July","August","September","October","November","December"},0),
        VALUE(MID(TRIM(I744),
          FIND(" ",TRIM(I744))+1,
          FIND(" ",TRIM(I744),FIND(" ",TRIM(I744))+1)-FIND(" ",TRIM(I744))-1))
      )
    )
  ),
"yyyy-mm-dd")</f>
        <v>2023-12-09</v>
      </c>
      <c r="K744" s="5" t="str">
        <f t="shared" si="92"/>
        <v>Dec</v>
      </c>
      <c r="L744">
        <v>1679773083</v>
      </c>
      <c r="M744" s="11">
        <f t="shared" si="93"/>
        <v>45010.818090277782</v>
      </c>
      <c r="N744">
        <v>854.73</v>
      </c>
      <c r="O744" s="7">
        <f t="shared" si="94"/>
        <v>854.73</v>
      </c>
      <c r="P744" t="s">
        <v>84</v>
      </c>
      <c r="Q744" s="7" t="str">
        <f t="shared" si="95"/>
        <v xml:space="preserve">Newsletter subscriber </v>
      </c>
    </row>
    <row r="745" spans="1:17">
      <c r="A745">
        <v>1914</v>
      </c>
      <c r="B745" t="s">
        <v>28</v>
      </c>
      <c r="C745" s="9" t="str">
        <f t="shared" si="88"/>
        <v>Maria Lopez</v>
      </c>
      <c r="D745" s="7" t="str">
        <f t="shared" si="89"/>
        <v>Maria Lopez</v>
      </c>
      <c r="F745" s="7">
        <f t="shared" si="90"/>
        <v>43</v>
      </c>
      <c r="G745" t="s">
        <v>48</v>
      </c>
      <c r="H745" s="7" t="str">
        <f t="shared" si="91"/>
        <v>France</v>
      </c>
      <c r="I745" t="s">
        <v>296</v>
      </c>
      <c r="J745" s="7" t="str">
        <f>TEXT(
  IFERROR(
    DATEVALUE(SUBSTITUTE(SUBSTITUTE(TRIM(I745),"T"," "),"Z","")),
    IFERROR(
      DATE(
        RIGHT(TRIM(I745),4),
        MID(TRIM(I745),4,2),
        LEFT(TRIM(I745),2)
      ),
      DATE(
        VALUE(RIGHT(TRIM(I745),4)),
        MATCH(LEFT(TRIM(I745),FIND(" ",TRIM(I745))-1),
          {"January","February","March","April","May","June","July","August","September","October","November","December"},0),
        VALUE(MID(TRIM(I745),
          FIND(" ",TRIM(I745))+1,
          FIND(" ",TRIM(I745),FIND(" ",TRIM(I745))+1)-FIND(" ",TRIM(I745))-1))
      )
    )
  ),
"yyyy-mm-dd")</f>
        <v>2023-04-18</v>
      </c>
      <c r="K745" s="5" t="str">
        <f t="shared" si="92"/>
        <v>Apr</v>
      </c>
      <c r="L745">
        <v>1698388054</v>
      </c>
      <c r="M745" s="11">
        <f t="shared" si="93"/>
        <v>45226.269143518519</v>
      </c>
      <c r="O745" s="7">
        <f t="shared" si="94"/>
        <v>0</v>
      </c>
      <c r="P745" t="s">
        <v>118</v>
      </c>
      <c r="Q745" s="7" t="str">
        <f t="shared" si="95"/>
        <v>High engagement</v>
      </c>
    </row>
    <row r="746" spans="1:17">
      <c r="A746">
        <v>1627</v>
      </c>
      <c r="B746" t="s">
        <v>140</v>
      </c>
      <c r="C746" s="9" t="str">
        <f t="shared" si="88"/>
        <v>Anne Müller</v>
      </c>
      <c r="D746" s="7" t="str">
        <f t="shared" si="89"/>
        <v>Anne Müller</v>
      </c>
      <c r="F746" s="7">
        <f t="shared" si="90"/>
        <v>43</v>
      </c>
      <c r="G746" t="s">
        <v>25</v>
      </c>
      <c r="H746" s="7" t="str">
        <f t="shared" si="91"/>
        <v>Japan</v>
      </c>
      <c r="I746" t="s">
        <v>697</v>
      </c>
      <c r="J746" s="7" t="str">
        <f>TEXT(
  IFERROR(
    DATEVALUE(SUBSTITUTE(SUBSTITUTE(TRIM(I746),"T"," "),"Z","")),
    IFERROR(
      DATE(
        RIGHT(TRIM(I746),4),
        MID(TRIM(I746),4,2),
        LEFT(TRIM(I746),2)
      ),
      DATE(
        VALUE(RIGHT(TRIM(I746),4)),
        MATCH(LEFT(TRIM(I746),FIND(" ",TRIM(I746))-1),
          {"January","February","March","April","May","June","July","August","September","October","November","December"},0),
        VALUE(MID(TRIM(I746),
          FIND(" ",TRIM(I746))+1,
          FIND(" ",TRIM(I746),FIND(" ",TRIM(I746))+1)-FIND(" ",TRIM(I746))-1))
      )
    )
  ),
"yyyy-mm-dd")</f>
        <v>2023-11-15</v>
      </c>
      <c r="K746" s="5" t="str">
        <f t="shared" si="92"/>
        <v>Nov</v>
      </c>
      <c r="L746">
        <v>1693981220</v>
      </c>
      <c r="M746" s="11">
        <f t="shared" si="93"/>
        <v>45175.264120370368</v>
      </c>
      <c r="O746" s="7">
        <f t="shared" si="94"/>
        <v>0</v>
      </c>
      <c r="P746" t="s">
        <v>40</v>
      </c>
      <c r="Q746" s="7" t="str">
        <f t="shared" si="95"/>
        <v xml:space="preserve">VIP client </v>
      </c>
    </row>
    <row r="747" spans="1:17">
      <c r="A747">
        <v>1461</v>
      </c>
      <c r="B747" t="s">
        <v>210</v>
      </c>
      <c r="C747" s="9" t="str">
        <f t="shared" si="88"/>
        <v>Ethan Clark</v>
      </c>
      <c r="D747" s="7" t="str">
        <f t="shared" si="89"/>
        <v>Ethan Clark</v>
      </c>
      <c r="E747">
        <v>33</v>
      </c>
      <c r="F747" s="7">
        <f t="shared" si="90"/>
        <v>33</v>
      </c>
      <c r="G747" t="s">
        <v>54</v>
      </c>
      <c r="H747" s="7" t="str">
        <f t="shared" si="91"/>
        <v>Brazil</v>
      </c>
      <c r="I747" t="s">
        <v>698</v>
      </c>
      <c r="J747" s="7" t="str">
        <f>TEXT(
  IFERROR(
    DATEVALUE(SUBSTITUTE(SUBSTITUTE(TRIM(I747),"T"," "),"Z","")),
    IFERROR(
      DATE(
        RIGHT(TRIM(I747),4),
        MID(TRIM(I747),4,2),
        LEFT(TRIM(I747),2)
      ),
      DATE(
        VALUE(RIGHT(TRIM(I747),4)),
        MATCH(LEFT(TRIM(I747),FIND(" ",TRIM(I747))-1),
          {"January","February","March","April","May","June","July","August","September","October","November","December"},0),
        VALUE(MID(TRIM(I747),
          FIND(" ",TRIM(I747))+1,
          FIND(" ",TRIM(I747),FIND(" ",TRIM(I747))+1)-FIND(" ",TRIM(I747))-1))
      )
    )
  ),
"yyyy-mm-dd")</f>
        <v>2023-01-14</v>
      </c>
      <c r="K747" s="5" t="str">
        <f t="shared" si="92"/>
        <v>Jan</v>
      </c>
      <c r="L747">
        <v>1680055916</v>
      </c>
      <c r="M747" s="11">
        <f t="shared" si="93"/>
        <v>45014.091620370367</v>
      </c>
      <c r="N747">
        <v>1251.54</v>
      </c>
      <c r="O747" s="7">
        <f t="shared" si="94"/>
        <v>1251.54</v>
      </c>
      <c r="P747" t="s">
        <v>40</v>
      </c>
      <c r="Q747" s="7" t="str">
        <f t="shared" si="95"/>
        <v xml:space="preserve">VIP client </v>
      </c>
    </row>
    <row r="748" spans="1:17">
      <c r="A748">
        <v>2140</v>
      </c>
      <c r="B748" t="s">
        <v>148</v>
      </c>
      <c r="C748" s="9" t="str">
        <f t="shared" si="88"/>
        <v>Chloe Dubois</v>
      </c>
      <c r="D748" s="7" t="str">
        <f t="shared" si="89"/>
        <v>Chloe Dubois</v>
      </c>
      <c r="E748">
        <v>30</v>
      </c>
      <c r="F748" s="7">
        <f t="shared" si="90"/>
        <v>30</v>
      </c>
      <c r="G748" t="s">
        <v>67</v>
      </c>
      <c r="H748" s="7" t="str">
        <f t="shared" si="91"/>
        <v>Sweden</v>
      </c>
      <c r="I748" t="s">
        <v>699</v>
      </c>
      <c r="J748" s="7" t="str">
        <f>TEXT(
  IFERROR(
    DATEVALUE(SUBSTITUTE(SUBSTITUTE(TRIM(I748),"T"," "),"Z","")),
    IFERROR(
      DATE(
        RIGHT(TRIM(I748),4),
        MID(TRIM(I748),4,2),
        LEFT(TRIM(I748),2)
      ),
      DATE(
        VALUE(RIGHT(TRIM(I748),4)),
        MATCH(LEFT(TRIM(I748),FIND(" ",TRIM(I748))-1),
          {"January","February","March","April","May","June","July","August","September","October","November","December"},0),
        VALUE(MID(TRIM(I748),
          FIND(" ",TRIM(I748))+1,
          FIND(" ",TRIM(I748),FIND(" ",TRIM(I748))+1)-FIND(" ",TRIM(I748))-1))
      )
    )
  ),
"yyyy-mm-dd")</f>
        <v>2023-10-25</v>
      </c>
      <c r="K748" s="5" t="str">
        <f t="shared" si="92"/>
        <v>Oct</v>
      </c>
      <c r="L748">
        <v>1693571188</v>
      </c>
      <c r="M748" s="11">
        <f t="shared" si="93"/>
        <v>45170.518379629633</v>
      </c>
      <c r="O748" s="7">
        <f t="shared" si="94"/>
        <v>0</v>
      </c>
      <c r="P748" t="s">
        <v>58</v>
      </c>
      <c r="Q748" s="7" t="str">
        <f t="shared" si="95"/>
        <v>Student account</v>
      </c>
    </row>
    <row r="749" spans="1:17">
      <c r="A749">
        <v>2147</v>
      </c>
      <c r="B749" t="s">
        <v>210</v>
      </c>
      <c r="C749" s="9" t="str">
        <f t="shared" si="88"/>
        <v>Ethan Clark</v>
      </c>
      <c r="D749" s="7" t="str">
        <f t="shared" si="89"/>
        <v>Ethan Clark</v>
      </c>
      <c r="F749" s="7">
        <f t="shared" si="90"/>
        <v>43</v>
      </c>
      <c r="G749" t="s">
        <v>18</v>
      </c>
      <c r="H749" s="7" t="str">
        <f t="shared" si="91"/>
        <v>United Kingdom</v>
      </c>
      <c r="I749" t="s">
        <v>700</v>
      </c>
      <c r="J749" s="7" t="str">
        <f>TEXT(
  IFERROR(
    DATEVALUE(SUBSTITUTE(SUBSTITUTE(TRIM(I749),"T"," "),"Z","")),
    IFERROR(
      DATE(
        RIGHT(TRIM(I749),4),
        MID(TRIM(I749),4,2),
        LEFT(TRIM(I749),2)
      ),
      DATE(
        VALUE(RIGHT(TRIM(I749),4)),
        MATCH(LEFT(TRIM(I749),FIND(" ",TRIM(I749))-1),
          {"January","February","March","April","May","June","July","August","September","October","November","December"},0),
        VALUE(MID(TRIM(I749),
          FIND(" ",TRIM(I749))+1,
          FIND(" ",TRIM(I749),FIND(" ",TRIM(I749))+1)-FIND(" ",TRIM(I749))-1))
      )
    )
  ),
"yyyy-mm-dd")</f>
        <v>2023-02-02</v>
      </c>
      <c r="K749" s="5" t="str">
        <f t="shared" si="92"/>
        <v>Feb</v>
      </c>
      <c r="L749">
        <v>1674718887</v>
      </c>
      <c r="M749" s="11">
        <f t="shared" si="93"/>
        <v>44952.320451388892</v>
      </c>
      <c r="O749" s="7">
        <f t="shared" si="94"/>
        <v>0</v>
      </c>
      <c r="P749" t="s">
        <v>27</v>
      </c>
      <c r="Q749" s="7" t="str">
        <f t="shared" si="95"/>
        <v xml:space="preserve">Holiday signup </v>
      </c>
    </row>
    <row r="750" spans="1:17">
      <c r="A750">
        <v>1477</v>
      </c>
      <c r="B750" t="s">
        <v>166</v>
      </c>
      <c r="C750" s="9" t="str">
        <f t="shared" si="88"/>
        <v>Daniel Kim</v>
      </c>
      <c r="D750" s="7" t="str">
        <f t="shared" si="89"/>
        <v>Daniel Kim</v>
      </c>
      <c r="E750">
        <v>50</v>
      </c>
      <c r="F750" s="7">
        <f t="shared" si="90"/>
        <v>50</v>
      </c>
      <c r="G750" t="s">
        <v>62</v>
      </c>
      <c r="H750" s="7" t="str">
        <f t="shared" si="91"/>
        <v>Ireland</v>
      </c>
      <c r="I750" t="s">
        <v>701</v>
      </c>
      <c r="J750" s="7" t="str">
        <f>TEXT(
  IFERROR(
    DATEVALUE(SUBSTITUTE(SUBSTITUTE(TRIM(I750),"T"," "),"Z","")),
    IFERROR(
      DATE(
        RIGHT(TRIM(I750),4),
        MID(TRIM(I750),4,2),
        LEFT(TRIM(I750),2)
      ),
      DATE(
        VALUE(RIGHT(TRIM(I750),4)),
        MATCH(LEFT(TRIM(I750),FIND(" ",TRIM(I750))-1),
          {"January","February","March","April","May","June","July","August","September","October","November","December"},0),
        VALUE(MID(TRIM(I750),
          FIND(" ",TRIM(I750))+1,
          FIND(" ",TRIM(I750),FIND(" ",TRIM(I750))+1)-FIND(" ",TRIM(I750))-1))
      )
    )
  ),
"yyyy-mm-dd")</f>
        <v>2023-12-15</v>
      </c>
      <c r="K750" s="5" t="str">
        <f t="shared" si="92"/>
        <v>Dec</v>
      </c>
      <c r="L750">
        <v>1683075479</v>
      </c>
      <c r="M750" s="11">
        <f t="shared" si="93"/>
        <v>45049.040266203709</v>
      </c>
      <c r="N750">
        <v>1295.47</v>
      </c>
      <c r="O750" s="7">
        <f t="shared" si="94"/>
        <v>1295.47</v>
      </c>
      <c r="P750" t="s">
        <v>84</v>
      </c>
      <c r="Q750" s="7" t="str">
        <f t="shared" si="95"/>
        <v xml:space="preserve">Newsletter subscriber </v>
      </c>
    </row>
    <row r="751" spans="1:17">
      <c r="A751">
        <v>1246</v>
      </c>
      <c r="B751" t="s">
        <v>82</v>
      </c>
      <c r="C751" s="9" t="str">
        <f t="shared" si="88"/>
        <v>Björn Larsson</v>
      </c>
      <c r="D751" s="7" t="str">
        <f t="shared" si="89"/>
        <v>Björn Larsson</v>
      </c>
      <c r="E751">
        <v>22</v>
      </c>
      <c r="F751" s="7">
        <f t="shared" si="90"/>
        <v>22</v>
      </c>
      <c r="G751" t="s">
        <v>44</v>
      </c>
      <c r="H751" s="7" t="str">
        <f t="shared" si="91"/>
        <v>UAE</v>
      </c>
      <c r="I751" t="s">
        <v>591</v>
      </c>
      <c r="J751" s="7" t="str">
        <f>TEXT(
  IFERROR(
    DATEVALUE(SUBSTITUTE(SUBSTITUTE(TRIM(I751),"T"," "),"Z","")),
    IFERROR(
      DATE(
        RIGHT(TRIM(I751),4),
        MID(TRIM(I751),4,2),
        LEFT(TRIM(I751),2)
      ),
      DATE(
        VALUE(RIGHT(TRIM(I751),4)),
        MATCH(LEFT(TRIM(I751),FIND(" ",TRIM(I751))-1),
          {"January","February","March","April","May","June","July","August","September","October","November","December"},0),
        VALUE(MID(TRIM(I751),
          FIND(" ",TRIM(I751))+1,
          FIND(" ",TRIM(I751),FIND(" ",TRIM(I751))+1)-FIND(" ",TRIM(I751))-1))
      )
    )
  ),
"yyyy-mm-dd")</f>
        <v>2023-03-24</v>
      </c>
      <c r="K751" s="5" t="str">
        <f t="shared" si="92"/>
        <v>Mar</v>
      </c>
      <c r="L751">
        <v>1680872326</v>
      </c>
      <c r="M751" s="11">
        <f t="shared" si="93"/>
        <v>45023.540810185186</v>
      </c>
      <c r="N751">
        <v>1469.88</v>
      </c>
      <c r="O751" s="7">
        <f t="shared" si="94"/>
        <v>1469.88</v>
      </c>
      <c r="P751" t="s">
        <v>33</v>
      </c>
      <c r="Q751" s="7" t="str">
        <f t="shared" si="95"/>
        <v>Frequent buyer n</v>
      </c>
    </row>
    <row r="752" spans="1:17">
      <c r="A752">
        <v>1186</v>
      </c>
      <c r="B752" t="s">
        <v>120</v>
      </c>
      <c r="C752" s="9" t="str">
        <f t="shared" si="88"/>
        <v>Sarah Johnson</v>
      </c>
      <c r="D752" s="7" t="str">
        <f t="shared" si="89"/>
        <v xml:space="preserve"> Sarah Johnson </v>
      </c>
      <c r="F752" s="7">
        <f t="shared" si="90"/>
        <v>43</v>
      </c>
      <c r="G752" t="s">
        <v>29</v>
      </c>
      <c r="H752" s="7" t="str">
        <f t="shared" si="91"/>
        <v>United States</v>
      </c>
      <c r="I752" t="s">
        <v>702</v>
      </c>
      <c r="J752" s="7" t="str">
        <f>TEXT(
  IFERROR(
    DATEVALUE(SUBSTITUTE(SUBSTITUTE(TRIM(I752),"T"," "),"Z","")),
    IFERROR(
      DATE(
        RIGHT(TRIM(I752),4),
        MID(TRIM(I752),4,2),
        LEFT(TRIM(I752),2)
      ),
      DATE(
        VALUE(RIGHT(TRIM(I752),4)),
        MATCH(LEFT(TRIM(I752),FIND(" ",TRIM(I752))-1),
          {"January","February","March","April","May","June","July","August","September","October","November","December"},0),
        VALUE(MID(TRIM(I752),
          FIND(" ",TRIM(I752))+1,
          FIND(" ",TRIM(I752),FIND(" ",TRIM(I752))+1)-FIND(" ",TRIM(I752))-1))
      )
    )
  ),
"yyyy-mm-dd")</f>
        <v>2023-06-23</v>
      </c>
      <c r="K752" s="5" t="str">
        <f t="shared" si="92"/>
        <v>Jun</v>
      </c>
      <c r="L752">
        <v>1697750738</v>
      </c>
      <c r="M752" s="11">
        <f t="shared" si="93"/>
        <v>45218.892800925925</v>
      </c>
      <c r="O752" s="7">
        <f t="shared" si="94"/>
        <v>0</v>
      </c>
      <c r="P752" t="s">
        <v>20</v>
      </c>
      <c r="Q752" s="7" t="str">
        <f t="shared" si="95"/>
        <v xml:space="preserve">Great customer </v>
      </c>
    </row>
    <row r="753" spans="1:17">
      <c r="A753">
        <v>2164</v>
      </c>
      <c r="B753" t="s">
        <v>166</v>
      </c>
      <c r="C753" s="9" t="str">
        <f t="shared" si="88"/>
        <v>Daniel Kim</v>
      </c>
      <c r="D753" s="7" t="str">
        <f t="shared" si="89"/>
        <v>Daniel Kim</v>
      </c>
      <c r="E753">
        <v>22</v>
      </c>
      <c r="F753" s="7">
        <f t="shared" si="90"/>
        <v>22</v>
      </c>
      <c r="G753" t="s">
        <v>60</v>
      </c>
      <c r="H753" s="7" t="str">
        <f t="shared" si="91"/>
        <v>Egypt</v>
      </c>
      <c r="I753" t="s">
        <v>703</v>
      </c>
      <c r="J753" s="7" t="str">
        <f>TEXT(
  IFERROR(
    DATEVALUE(SUBSTITUTE(SUBSTITUTE(TRIM(I753),"T"," "),"Z","")),
    IFERROR(
      DATE(
        RIGHT(TRIM(I753),4),
        MID(TRIM(I753),4,2),
        LEFT(TRIM(I753),2)
      ),
      DATE(
        VALUE(RIGHT(TRIM(I753),4)),
        MATCH(LEFT(TRIM(I753),FIND(" ",TRIM(I753))-1),
          {"January","February","March","April","May","June","July","August","September","October","November","December"},0),
        VALUE(MID(TRIM(I753),
          FIND(" ",TRIM(I753))+1,
          FIND(" ",TRIM(I753),FIND(" ",TRIM(I753))+1)-FIND(" ",TRIM(I753))-1))
      )
    )
  ),
"yyyy-mm-dd")</f>
        <v>2023-04-04</v>
      </c>
      <c r="K753" s="5" t="str">
        <f t="shared" si="92"/>
        <v>Apr</v>
      </c>
      <c r="L753">
        <v>1679851410</v>
      </c>
      <c r="M753" s="11">
        <f t="shared" si="93"/>
        <v>45011.724652777775</v>
      </c>
      <c r="N753">
        <v>1463.9</v>
      </c>
      <c r="O753" s="7">
        <f t="shared" si="94"/>
        <v>1463.9</v>
      </c>
      <c r="P753" t="s">
        <v>33</v>
      </c>
      <c r="Q753" s="7" t="str">
        <f t="shared" si="95"/>
        <v>Frequent buyer n</v>
      </c>
    </row>
    <row r="754" spans="1:17">
      <c r="A754">
        <v>1412</v>
      </c>
      <c r="B754" t="s">
        <v>107</v>
      </c>
      <c r="C754" s="9" t="str">
        <f t="shared" si="88"/>
        <v>Fatima Ali</v>
      </c>
      <c r="D754" s="7" t="str">
        <f t="shared" si="89"/>
        <v>Fatima Ali</v>
      </c>
      <c r="F754" s="7">
        <f t="shared" si="90"/>
        <v>43</v>
      </c>
      <c r="G754" t="s">
        <v>44</v>
      </c>
      <c r="H754" s="7" t="str">
        <f t="shared" si="91"/>
        <v>UAE</v>
      </c>
      <c r="I754" t="s">
        <v>704</v>
      </c>
      <c r="J754" s="7" t="str">
        <f>TEXT(
  IFERROR(
    DATEVALUE(SUBSTITUTE(SUBSTITUTE(TRIM(I754),"T"," "),"Z","")),
    IFERROR(
      DATE(
        RIGHT(TRIM(I754),4),
        MID(TRIM(I754),4,2),
        LEFT(TRIM(I754),2)
      ),
      DATE(
        VALUE(RIGHT(TRIM(I754),4)),
        MATCH(LEFT(TRIM(I754),FIND(" ",TRIM(I754))-1),
          {"January","February","March","April","May","June","July","August","September","October","November","December"},0),
        VALUE(MID(TRIM(I754),
          FIND(" ",TRIM(I754))+1,
          FIND(" ",TRIM(I754),FIND(" ",TRIM(I754))+1)-FIND(" ",TRIM(I754))-1))
      )
    )
  ),
"yyyy-mm-dd")</f>
        <v>2023-07-26</v>
      </c>
      <c r="K754" s="5" t="str">
        <f t="shared" si="92"/>
        <v>Jul</v>
      </c>
      <c r="L754">
        <v>1685176267</v>
      </c>
      <c r="M754" s="11">
        <f t="shared" si="93"/>
        <v>45073.354942129634</v>
      </c>
      <c r="N754">
        <v>132.76</v>
      </c>
      <c r="O754" s="7">
        <f t="shared" si="94"/>
        <v>132.76</v>
      </c>
      <c r="P754" t="s">
        <v>36</v>
      </c>
      <c r="Q754" s="7" t="str">
        <f t="shared" si="95"/>
        <v>Regular shopper</v>
      </c>
    </row>
    <row r="755" spans="1:17">
      <c r="A755">
        <v>1214</v>
      </c>
      <c r="B755" t="s">
        <v>41</v>
      </c>
      <c r="C755" s="9" t="str">
        <f t="shared" si="88"/>
        <v>Lucas Silva</v>
      </c>
      <c r="D755" s="7" t="str">
        <f t="shared" si="89"/>
        <v>Lucas Silva</v>
      </c>
      <c r="F755" s="7">
        <f t="shared" si="90"/>
        <v>43</v>
      </c>
      <c r="G755" t="s">
        <v>60</v>
      </c>
      <c r="H755" s="7" t="str">
        <f t="shared" si="91"/>
        <v>Egypt</v>
      </c>
      <c r="I755" t="s">
        <v>705</v>
      </c>
      <c r="J755" s="7" t="str">
        <f>TEXT(
  IFERROR(
    DATEVALUE(SUBSTITUTE(SUBSTITUTE(TRIM(I755),"T"," "),"Z","")),
    IFERROR(
      DATE(
        RIGHT(TRIM(I755),4),
        MID(TRIM(I755),4,2),
        LEFT(TRIM(I755),2)
      ),
      DATE(
        VALUE(RIGHT(TRIM(I755),4)),
        MATCH(LEFT(TRIM(I755),FIND(" ",TRIM(I755))-1),
          {"January","February","March","April","May","June","July","August","September","October","November","December"},0),
        VALUE(MID(TRIM(I755),
          FIND(" ",TRIM(I755))+1,
          FIND(" ",TRIM(I755),FIND(" ",TRIM(I755))+1)-FIND(" ",TRIM(I755))-1))
      )
    )
  ),
"yyyy-mm-dd")</f>
        <v>2023-05-28</v>
      </c>
      <c r="K755" s="5" t="str">
        <f t="shared" si="92"/>
        <v>May</v>
      </c>
      <c r="L755">
        <v>1690225644</v>
      </c>
      <c r="M755" s="11">
        <f t="shared" si="93"/>
        <v>45131.796805555554</v>
      </c>
      <c r="N755">
        <v>1248.57</v>
      </c>
      <c r="O755" s="7">
        <f t="shared" si="94"/>
        <v>1248.57</v>
      </c>
      <c r="P755" t="s">
        <v>52</v>
      </c>
      <c r="Q755" s="7" t="str">
        <f t="shared" si="95"/>
        <v xml:space="preserve">Prefers email </v>
      </c>
    </row>
    <row r="756" spans="1:17">
      <c r="A756">
        <v>1224</v>
      </c>
      <c r="B756" t="s">
        <v>224</v>
      </c>
      <c r="C756" s="9" t="str">
        <f t="shared" si="88"/>
        <v>Anne Müller</v>
      </c>
      <c r="D756" s="7" t="str">
        <f t="shared" si="89"/>
        <v xml:space="preserve"> Anne Müller </v>
      </c>
      <c r="E756">
        <v>42</v>
      </c>
      <c r="F756" s="7">
        <f t="shared" si="90"/>
        <v>42</v>
      </c>
      <c r="G756" t="s">
        <v>29</v>
      </c>
      <c r="H756" s="7" t="str">
        <f t="shared" si="91"/>
        <v>United States</v>
      </c>
      <c r="I756" t="s">
        <v>583</v>
      </c>
      <c r="J756" s="7" t="str">
        <f>TEXT(
  IFERROR(
    DATEVALUE(SUBSTITUTE(SUBSTITUTE(TRIM(I756),"T"," "),"Z","")),
    IFERROR(
      DATE(
        RIGHT(TRIM(I756),4),
        MID(TRIM(I756),4,2),
        LEFT(TRIM(I756),2)
      ),
      DATE(
        VALUE(RIGHT(TRIM(I756),4)),
        MATCH(LEFT(TRIM(I756),FIND(" ",TRIM(I756))-1),
          {"January","February","March","April","May","June","July","August","September","October","November","December"},0),
        VALUE(MID(TRIM(I756),
          FIND(" ",TRIM(I756))+1,
          FIND(" ",TRIM(I756),FIND(" ",TRIM(I756))+1)-FIND(" ",TRIM(I756))-1))
      )
    )
  ),
"yyyy-mm-dd")</f>
        <v>2023-05-04</v>
      </c>
      <c r="K756" s="5" t="str">
        <f t="shared" si="92"/>
        <v>May</v>
      </c>
      <c r="L756">
        <v>1693170740</v>
      </c>
      <c r="M756" s="11">
        <f t="shared" si="93"/>
        <v>45165.883564814816</v>
      </c>
      <c r="N756">
        <v>562.64</v>
      </c>
      <c r="O756" s="7">
        <f t="shared" si="94"/>
        <v>562.64</v>
      </c>
      <c r="P756" t="s">
        <v>36</v>
      </c>
      <c r="Q756" s="7" t="str">
        <f t="shared" si="95"/>
        <v>Regular shopper</v>
      </c>
    </row>
    <row r="757" spans="1:17">
      <c r="A757">
        <v>1360</v>
      </c>
      <c r="B757" t="s">
        <v>90</v>
      </c>
      <c r="C757" s="9" t="str">
        <f t="shared" si="88"/>
        <v>Olivia Wilson</v>
      </c>
      <c r="D757" s="7" t="str">
        <f t="shared" si="89"/>
        <v>Olivia Wilson</v>
      </c>
      <c r="F757" s="7">
        <f t="shared" si="90"/>
        <v>43</v>
      </c>
      <c r="G757" t="s">
        <v>116</v>
      </c>
      <c r="H757" s="7" t="str">
        <f t="shared" si="91"/>
        <v>China</v>
      </c>
      <c r="I757" t="s">
        <v>706</v>
      </c>
      <c r="J757" s="7" t="str">
        <f>TEXT(
  IFERROR(
    DATEVALUE(SUBSTITUTE(SUBSTITUTE(TRIM(I757),"T"," "),"Z","")),
    IFERROR(
      DATE(
        RIGHT(TRIM(I757),4),
        MID(TRIM(I757),4,2),
        LEFT(TRIM(I757),2)
      ),
      DATE(
        VALUE(RIGHT(TRIM(I757),4)),
        MATCH(LEFT(TRIM(I757),FIND(" ",TRIM(I757))-1),
          {"January","February","March","April","May","June","July","August","September","October","November","December"},0),
        VALUE(MID(TRIM(I757),
          FIND(" ",TRIM(I757))+1,
          FIND(" ",TRIM(I757),FIND(" ",TRIM(I757))+1)-FIND(" ",TRIM(I757))-1))
      )
    )
  ),
"yyyy-mm-dd")</f>
        <v>2023-03-20</v>
      </c>
      <c r="K757" s="5" t="str">
        <f t="shared" si="92"/>
        <v>Mar</v>
      </c>
      <c r="L757">
        <v>1689488939</v>
      </c>
      <c r="M757" s="11">
        <f t="shared" si="93"/>
        <v>45123.270127314812</v>
      </c>
      <c r="N757">
        <v>104.84</v>
      </c>
      <c r="O757" s="7">
        <f t="shared" si="94"/>
        <v>104.84</v>
      </c>
      <c r="P757" t="s">
        <v>40</v>
      </c>
      <c r="Q757" s="7" t="str">
        <f t="shared" si="95"/>
        <v xml:space="preserve">VIP client </v>
      </c>
    </row>
    <row r="758" spans="1:17">
      <c r="A758">
        <v>1688</v>
      </c>
      <c r="B758" t="s">
        <v>101</v>
      </c>
      <c r="C758" s="9" t="str">
        <f t="shared" si="88"/>
        <v>Zoë Kravitz</v>
      </c>
      <c r="D758" s="7" t="str">
        <f t="shared" si="89"/>
        <v>Zoë Kravitz</v>
      </c>
      <c r="E758">
        <v>19</v>
      </c>
      <c r="F758" s="7">
        <f t="shared" si="90"/>
        <v>19</v>
      </c>
      <c r="G758" t="s">
        <v>38</v>
      </c>
      <c r="H758" s="7" t="str">
        <f t="shared" si="91"/>
        <v>Spain</v>
      </c>
      <c r="I758" t="s">
        <v>707</v>
      </c>
      <c r="J758" s="7" t="str">
        <f>TEXT(
  IFERROR(
    DATEVALUE(SUBSTITUTE(SUBSTITUTE(TRIM(I758),"T"," "),"Z","")),
    IFERROR(
      DATE(
        RIGHT(TRIM(I758),4),
        MID(TRIM(I758),4,2),
        LEFT(TRIM(I758),2)
      ),
      DATE(
        VALUE(RIGHT(TRIM(I758),4)),
        MATCH(LEFT(TRIM(I758),FIND(" ",TRIM(I758))-1),
          {"January","February","March","April","May","June","July","August","September","October","November","December"},0),
        VALUE(MID(TRIM(I758),
          FIND(" ",TRIM(I758))+1,
          FIND(" ",TRIM(I758),FIND(" ",TRIM(I758))+1)-FIND(" ",TRIM(I758))-1))
      )
    )
  ),
"yyyy-mm-dd")</f>
        <v>2023-11-05</v>
      </c>
      <c r="K758" s="5" t="str">
        <f t="shared" si="92"/>
        <v>Nov</v>
      </c>
      <c r="L758">
        <v>1682181184</v>
      </c>
      <c r="M758" s="11">
        <f t="shared" si="93"/>
        <v>45038.689629629633</v>
      </c>
      <c r="N758">
        <v>839.71</v>
      </c>
      <c r="O758" s="7">
        <f t="shared" si="94"/>
        <v>839.71</v>
      </c>
      <c r="P758" t="s">
        <v>46</v>
      </c>
      <c r="Q758" s="7" t="str">
        <f t="shared" si="95"/>
        <v>Corporate account</v>
      </c>
    </row>
    <row r="759" spans="1:17">
      <c r="A759">
        <v>1073</v>
      </c>
      <c r="B759" t="s">
        <v>166</v>
      </c>
      <c r="C759" s="9" t="str">
        <f t="shared" si="88"/>
        <v>Daniel Kim</v>
      </c>
      <c r="D759" s="7" t="str">
        <f t="shared" si="89"/>
        <v>Daniel Kim</v>
      </c>
      <c r="F759" s="7">
        <f t="shared" si="90"/>
        <v>43</v>
      </c>
      <c r="G759" t="s">
        <v>116</v>
      </c>
      <c r="H759" s="7" t="str">
        <f t="shared" si="91"/>
        <v>China</v>
      </c>
      <c r="I759" t="s">
        <v>708</v>
      </c>
      <c r="J759" s="7" t="str">
        <f>TEXT(
  IFERROR(
    DATEVALUE(SUBSTITUTE(SUBSTITUTE(TRIM(I759),"T"," "),"Z","")),
    IFERROR(
      DATE(
        RIGHT(TRIM(I759),4),
        MID(TRIM(I759),4,2),
        LEFT(TRIM(I759),2)
      ),
      DATE(
        VALUE(RIGHT(TRIM(I759),4)),
        MATCH(LEFT(TRIM(I759),FIND(" ",TRIM(I759))-1),
          {"January","February","March","April","May","June","July","August","September","October","November","December"},0),
        VALUE(MID(TRIM(I759),
          FIND(" ",TRIM(I759))+1,
          FIND(" ",TRIM(I759),FIND(" ",TRIM(I759))+1)-FIND(" ",TRIM(I759))-1))
      )
    )
  ),
"yyyy-mm-dd")</f>
        <v>2023-05-25</v>
      </c>
      <c r="K759" s="5" t="str">
        <f t="shared" si="92"/>
        <v>May</v>
      </c>
      <c r="L759">
        <v>1685501751</v>
      </c>
      <c r="M759" s="11">
        <f t="shared" si="93"/>
        <v>45077.122118055559</v>
      </c>
      <c r="N759">
        <v>680.01</v>
      </c>
      <c r="O759" s="7">
        <f t="shared" si="94"/>
        <v>680.01</v>
      </c>
      <c r="P759" t="s">
        <v>36</v>
      </c>
      <c r="Q759" s="7" t="str">
        <f t="shared" si="95"/>
        <v>Regular shopper</v>
      </c>
    </row>
    <row r="760" spans="1:17">
      <c r="A760">
        <v>1513</v>
      </c>
      <c r="B760" t="s">
        <v>90</v>
      </c>
      <c r="C760" s="9" t="str">
        <f t="shared" si="88"/>
        <v>Olivia Wilson</v>
      </c>
      <c r="D760" s="7" t="str">
        <f t="shared" si="89"/>
        <v>Olivia Wilson</v>
      </c>
      <c r="F760" s="7">
        <f t="shared" si="90"/>
        <v>43</v>
      </c>
      <c r="G760" t="s">
        <v>18</v>
      </c>
      <c r="H760" s="7" t="str">
        <f t="shared" si="91"/>
        <v>United Kingdom</v>
      </c>
      <c r="I760" t="s">
        <v>709</v>
      </c>
      <c r="J760" s="7" t="str">
        <f>TEXT(
  IFERROR(
    DATEVALUE(SUBSTITUTE(SUBSTITUTE(TRIM(I760),"T"," "),"Z","")),
    IFERROR(
      DATE(
        RIGHT(TRIM(I760),4),
        MID(TRIM(I760),4,2),
        LEFT(TRIM(I760),2)
      ),
      DATE(
        VALUE(RIGHT(TRIM(I760),4)),
        MATCH(LEFT(TRIM(I760),FIND(" ",TRIM(I760))-1),
          {"January","February","March","April","May","June","July","August","September","October","November","December"},0),
        VALUE(MID(TRIM(I760),
          FIND(" ",TRIM(I760))+1,
          FIND(" ",TRIM(I760),FIND(" ",TRIM(I760))+1)-FIND(" ",TRIM(I760))-1))
      )
    )
  ),
"yyyy-mm-dd")</f>
        <v>2023-08-21</v>
      </c>
      <c r="K760" s="5" t="str">
        <f t="shared" si="92"/>
        <v>Aug</v>
      </c>
      <c r="L760">
        <v>1702033254</v>
      </c>
      <c r="M760" s="11">
        <f t="shared" si="93"/>
        <v>45268.458958333329</v>
      </c>
      <c r="N760">
        <v>546.6</v>
      </c>
      <c r="O760" s="7">
        <f t="shared" si="94"/>
        <v>546.6</v>
      </c>
      <c r="P760" t="s">
        <v>58</v>
      </c>
      <c r="Q760" s="7" t="str">
        <f t="shared" si="95"/>
        <v>Student account</v>
      </c>
    </row>
    <row r="761" spans="1:17">
      <c r="A761">
        <v>1843</v>
      </c>
      <c r="B761" t="s">
        <v>41</v>
      </c>
      <c r="C761" s="9" t="str">
        <f t="shared" si="88"/>
        <v>Lucas Silva</v>
      </c>
      <c r="D761" s="7" t="str">
        <f t="shared" si="89"/>
        <v>Lucas Silva</v>
      </c>
      <c r="F761" s="7">
        <f t="shared" si="90"/>
        <v>43</v>
      </c>
      <c r="G761" t="s">
        <v>25</v>
      </c>
      <c r="H761" s="7" t="str">
        <f t="shared" si="91"/>
        <v>Japan</v>
      </c>
      <c r="I761" t="s">
        <v>710</v>
      </c>
      <c r="J761" s="7" t="str">
        <f>TEXT(
  IFERROR(
    DATEVALUE(SUBSTITUTE(SUBSTITUTE(TRIM(I761),"T"," "),"Z","")),
    IFERROR(
      DATE(
        RIGHT(TRIM(I761),4),
        MID(TRIM(I761),4,2),
        LEFT(TRIM(I761),2)
      ),
      DATE(
        VALUE(RIGHT(TRIM(I761),4)),
        MATCH(LEFT(TRIM(I761),FIND(" ",TRIM(I761))-1),
          {"January","February","March","April","May","June","July","August","September","October","November","December"},0),
        VALUE(MID(TRIM(I761),
          FIND(" ",TRIM(I761))+1,
          FIND(" ",TRIM(I761),FIND(" ",TRIM(I761))+1)-FIND(" ",TRIM(I761))-1))
      )
    )
  ),
"yyyy-mm-dd")</f>
        <v>2023-11-09</v>
      </c>
      <c r="K761" s="5" t="str">
        <f t="shared" si="92"/>
        <v>Nov</v>
      </c>
      <c r="L761">
        <v>1690327582</v>
      </c>
      <c r="M761" s="11">
        <f t="shared" si="93"/>
        <v>45132.976643518516</v>
      </c>
      <c r="N761">
        <v>1105.6199999999999</v>
      </c>
      <c r="O761" s="7">
        <f t="shared" si="94"/>
        <v>1105.6199999999999</v>
      </c>
      <c r="P761" t="s">
        <v>52</v>
      </c>
      <c r="Q761" s="7" t="str">
        <f t="shared" si="95"/>
        <v xml:space="preserve">Prefers email </v>
      </c>
    </row>
    <row r="762" spans="1:17">
      <c r="A762">
        <v>1335</v>
      </c>
      <c r="B762" t="s">
        <v>53</v>
      </c>
      <c r="C762" s="9" t="str">
        <f t="shared" si="88"/>
        <v>Sofia Rossi</v>
      </c>
      <c r="D762" s="7" t="str">
        <f t="shared" si="89"/>
        <v xml:space="preserve"> Sofia Rossi </v>
      </c>
      <c r="E762">
        <v>57</v>
      </c>
      <c r="F762" s="7">
        <f t="shared" si="90"/>
        <v>57</v>
      </c>
      <c r="G762" t="s">
        <v>62</v>
      </c>
      <c r="H762" s="7" t="str">
        <f t="shared" si="91"/>
        <v>Ireland</v>
      </c>
      <c r="I762" t="s">
        <v>711</v>
      </c>
      <c r="J762" s="7" t="str">
        <f>TEXT(
  IFERROR(
    DATEVALUE(SUBSTITUTE(SUBSTITUTE(TRIM(I762),"T"," "),"Z","")),
    IFERROR(
      DATE(
        RIGHT(TRIM(I762),4),
        MID(TRIM(I762),4,2),
        LEFT(TRIM(I762),2)
      ),
      DATE(
        VALUE(RIGHT(TRIM(I762),4)),
        MATCH(LEFT(TRIM(I762),FIND(" ",TRIM(I762))-1),
          {"January","February","March","April","May","June","July","August","September","October","November","December"},0),
        VALUE(MID(TRIM(I762),
          FIND(" ",TRIM(I762))+1,
          FIND(" ",TRIM(I762),FIND(" ",TRIM(I762))+1)-FIND(" ",TRIM(I762))-1))
      )
    )
  ),
"yyyy-mm-dd")</f>
        <v>2023-10-10</v>
      </c>
      <c r="K762" s="5" t="str">
        <f t="shared" si="92"/>
        <v>Oct</v>
      </c>
      <c r="L762">
        <v>1696007492</v>
      </c>
      <c r="M762" s="11">
        <f t="shared" si="93"/>
        <v>45198.716342592597</v>
      </c>
      <c r="N762">
        <v>1475.12</v>
      </c>
      <c r="O762" s="7">
        <f t="shared" si="94"/>
        <v>1475.12</v>
      </c>
      <c r="P762" t="s">
        <v>52</v>
      </c>
      <c r="Q762" s="7" t="str">
        <f t="shared" si="95"/>
        <v xml:space="preserve">Prefers email </v>
      </c>
    </row>
    <row r="763" spans="1:17">
      <c r="A763">
        <v>1301</v>
      </c>
      <c r="B763" t="s">
        <v>64</v>
      </c>
      <c r="C763" s="9" t="str">
        <f t="shared" si="88"/>
        <v>Ethan Clark</v>
      </c>
      <c r="D763" s="7" t="str">
        <f t="shared" si="89"/>
        <v xml:space="preserve"> Ethan Clark </v>
      </c>
      <c r="F763" s="7">
        <f t="shared" si="90"/>
        <v>43</v>
      </c>
      <c r="G763" t="s">
        <v>60</v>
      </c>
      <c r="H763" s="7" t="str">
        <f t="shared" si="91"/>
        <v>Egypt</v>
      </c>
      <c r="I763" t="s">
        <v>712</v>
      </c>
      <c r="J763" s="7" t="str">
        <f>TEXT(
  IFERROR(
    DATEVALUE(SUBSTITUTE(SUBSTITUTE(TRIM(I763),"T"," "),"Z","")),
    IFERROR(
      DATE(
        RIGHT(TRIM(I763),4),
        MID(TRIM(I763),4,2),
        LEFT(TRIM(I763),2)
      ),
      DATE(
        VALUE(RIGHT(TRIM(I763),4)),
        MATCH(LEFT(TRIM(I763),FIND(" ",TRIM(I763))-1),
          {"January","February","March","April","May","June","July","August","September","October","November","December"},0),
        VALUE(MID(TRIM(I763),
          FIND(" ",TRIM(I763))+1,
          FIND(" ",TRIM(I763),FIND(" ",TRIM(I763))+1)-FIND(" ",TRIM(I763))-1))
      )
    )
  ),
"yyyy-mm-dd")</f>
        <v>2023-07-14</v>
      </c>
      <c r="K763" s="5" t="str">
        <f t="shared" si="92"/>
        <v>Jul</v>
      </c>
      <c r="L763">
        <v>1678243619</v>
      </c>
      <c r="M763" s="11">
        <f t="shared" si="93"/>
        <v>44993.115960648152</v>
      </c>
      <c r="O763" s="7">
        <f t="shared" si="94"/>
        <v>0</v>
      </c>
      <c r="P763" t="s">
        <v>36</v>
      </c>
      <c r="Q763" s="7" t="str">
        <f t="shared" si="95"/>
        <v>Regular shopper</v>
      </c>
    </row>
    <row r="764" spans="1:17">
      <c r="A764">
        <v>2198</v>
      </c>
      <c r="B764" t="s">
        <v>164</v>
      </c>
      <c r="C764" s="9" t="str">
        <f t="shared" si="88"/>
        <v>Daniel Kim</v>
      </c>
      <c r="D764" s="7" t="str">
        <f t="shared" si="89"/>
        <v xml:space="preserve"> Daniel Kim </v>
      </c>
      <c r="E764">
        <v>49</v>
      </c>
      <c r="F764" s="7">
        <f t="shared" si="90"/>
        <v>49</v>
      </c>
      <c r="G764" t="s">
        <v>122</v>
      </c>
      <c r="H764" s="7" t="str">
        <f t="shared" si="91"/>
        <v>Italy</v>
      </c>
      <c r="I764" t="s">
        <v>713</v>
      </c>
      <c r="J764" s="7" t="str">
        <f>TEXT(
  IFERROR(
    DATEVALUE(SUBSTITUTE(SUBSTITUTE(TRIM(I764),"T"," "),"Z","")),
    IFERROR(
      DATE(
        RIGHT(TRIM(I764),4),
        MID(TRIM(I764),4,2),
        LEFT(TRIM(I764),2)
      ),
      DATE(
        VALUE(RIGHT(TRIM(I764),4)),
        MATCH(LEFT(TRIM(I764),FIND(" ",TRIM(I764))-1),
          {"January","February","March","April","May","June","July","August","September","October","November","December"},0),
        VALUE(MID(TRIM(I764),
          FIND(" ",TRIM(I764))+1,
          FIND(" ",TRIM(I764),FIND(" ",TRIM(I764))+1)-FIND(" ",TRIM(I764))-1))
      )
    )
  ),
"yyyy-mm-dd")</f>
        <v>2023-06-23</v>
      </c>
      <c r="K764" s="5" t="str">
        <f t="shared" si="92"/>
        <v>Jun</v>
      </c>
      <c r="L764">
        <v>1702269692</v>
      </c>
      <c r="M764" s="11">
        <f t="shared" si="93"/>
        <v>45271.195509259254</v>
      </c>
      <c r="N764">
        <v>561.25</v>
      </c>
      <c r="O764" s="7">
        <f t="shared" si="94"/>
        <v>561.25</v>
      </c>
      <c r="P764" t="s">
        <v>33</v>
      </c>
      <c r="Q764" s="7" t="str">
        <f t="shared" si="95"/>
        <v>Frequent buyer n</v>
      </c>
    </row>
    <row r="765" spans="1:17">
      <c r="A765">
        <v>1615</v>
      </c>
      <c r="B765" t="s">
        <v>101</v>
      </c>
      <c r="C765" s="9" t="str">
        <f t="shared" si="88"/>
        <v>Zoë Kravitz</v>
      </c>
      <c r="D765" s="7" t="str">
        <f t="shared" si="89"/>
        <v>Zoë Kravitz</v>
      </c>
      <c r="E765">
        <v>25</v>
      </c>
      <c r="F765" s="7">
        <f t="shared" si="90"/>
        <v>25</v>
      </c>
      <c r="G765" t="s">
        <v>22</v>
      </c>
      <c r="H765" s="7" t="str">
        <f t="shared" si="91"/>
        <v>Germany</v>
      </c>
      <c r="I765" t="s">
        <v>714</v>
      </c>
      <c r="J765" s="7" t="str">
        <f>TEXT(
  IFERROR(
    DATEVALUE(SUBSTITUTE(SUBSTITUTE(TRIM(I765),"T"," "),"Z","")),
    IFERROR(
      DATE(
        RIGHT(TRIM(I765),4),
        MID(TRIM(I765),4,2),
        LEFT(TRIM(I765),2)
      ),
      DATE(
        VALUE(RIGHT(TRIM(I765),4)),
        MATCH(LEFT(TRIM(I765),FIND(" ",TRIM(I765))-1),
          {"January","February","March","April","May","June","July","August","September","October","November","December"},0),
        VALUE(MID(TRIM(I765),
          FIND(" ",TRIM(I765))+1,
          FIND(" ",TRIM(I765),FIND(" ",TRIM(I765))+1)-FIND(" ",TRIM(I765))-1))
      )
    )
  ),
"yyyy-mm-dd")</f>
        <v>2023-11-21</v>
      </c>
      <c r="K765" s="5" t="str">
        <f t="shared" si="92"/>
        <v>Nov</v>
      </c>
      <c r="L765">
        <v>1682333620</v>
      </c>
      <c r="M765" s="11">
        <f t="shared" si="93"/>
        <v>45040.453935185185</v>
      </c>
      <c r="N765">
        <v>1070</v>
      </c>
      <c r="O765" s="7">
        <f t="shared" si="94"/>
        <v>1070</v>
      </c>
      <c r="P765" t="s">
        <v>84</v>
      </c>
      <c r="Q765" s="7" t="str">
        <f t="shared" si="95"/>
        <v xml:space="preserve">Newsletter subscriber </v>
      </c>
    </row>
    <row r="766" spans="1:17">
      <c r="A766">
        <v>1653</v>
      </c>
      <c r="B766" t="s">
        <v>120</v>
      </c>
      <c r="C766" s="9" t="str">
        <f t="shared" si="88"/>
        <v>Sarah Johnson</v>
      </c>
      <c r="D766" s="7" t="str">
        <f t="shared" si="89"/>
        <v xml:space="preserve"> Sarah Johnson </v>
      </c>
      <c r="F766" s="7">
        <f t="shared" si="90"/>
        <v>43</v>
      </c>
      <c r="G766" t="s">
        <v>54</v>
      </c>
      <c r="H766" s="7" t="str">
        <f t="shared" si="91"/>
        <v>Brazil</v>
      </c>
      <c r="I766" t="s">
        <v>715</v>
      </c>
      <c r="J766" s="7" t="str">
        <f>TEXT(
  IFERROR(
    DATEVALUE(SUBSTITUTE(SUBSTITUTE(TRIM(I766),"T"," "),"Z","")),
    IFERROR(
      DATE(
        RIGHT(TRIM(I766),4),
        MID(TRIM(I766),4,2),
        LEFT(TRIM(I766),2)
      ),
      DATE(
        VALUE(RIGHT(TRIM(I766),4)),
        MATCH(LEFT(TRIM(I766),FIND(" ",TRIM(I766))-1),
          {"January","February","March","April","May","June","July","August","September","October","November","December"},0),
        VALUE(MID(TRIM(I766),
          FIND(" ",TRIM(I766))+1,
          FIND(" ",TRIM(I766),FIND(" ",TRIM(I766))+1)-FIND(" ",TRIM(I766))-1))
      )
    )
  ),
"yyyy-mm-dd")</f>
        <v>2023-08-18</v>
      </c>
      <c r="K766" s="5" t="str">
        <f t="shared" si="92"/>
        <v>Aug</v>
      </c>
      <c r="L766">
        <v>1683849219</v>
      </c>
      <c r="M766" s="11">
        <f t="shared" si="93"/>
        <v>45057.995590277773</v>
      </c>
      <c r="O766" s="7">
        <f t="shared" si="94"/>
        <v>0</v>
      </c>
      <c r="P766" t="s">
        <v>52</v>
      </c>
      <c r="Q766" s="7" t="str">
        <f t="shared" si="95"/>
        <v xml:space="preserve">Prefers email </v>
      </c>
    </row>
    <row r="767" spans="1:17">
      <c r="A767">
        <v>1536</v>
      </c>
      <c r="B767" t="s">
        <v>143</v>
      </c>
      <c r="C767" s="9" t="str">
        <f t="shared" si="88"/>
        <v>Chloe Dubois</v>
      </c>
      <c r="D767" s="7" t="str">
        <f t="shared" si="89"/>
        <v xml:space="preserve"> Chloe Dubois </v>
      </c>
      <c r="E767">
        <v>36</v>
      </c>
      <c r="F767" s="7">
        <f t="shared" si="90"/>
        <v>36</v>
      </c>
      <c r="G767" t="s">
        <v>111</v>
      </c>
      <c r="H767" s="7" t="str">
        <f t="shared" si="91"/>
        <v>South Korea</v>
      </c>
      <c r="I767" t="s">
        <v>716</v>
      </c>
      <c r="J767" s="7" t="str">
        <f>TEXT(
  IFERROR(
    DATEVALUE(SUBSTITUTE(SUBSTITUTE(TRIM(I767),"T"," "),"Z","")),
    IFERROR(
      DATE(
        RIGHT(TRIM(I767),4),
        MID(TRIM(I767),4,2),
        LEFT(TRIM(I767),2)
      ),
      DATE(
        VALUE(RIGHT(TRIM(I767),4)),
        MATCH(LEFT(TRIM(I767),FIND(" ",TRIM(I767))-1),
          {"January","February","March","April","May","June","July","August","September","October","November","December"},0),
        VALUE(MID(TRIM(I767),
          FIND(" ",TRIM(I767))+1,
          FIND(" ",TRIM(I767),FIND(" ",TRIM(I767))+1)-FIND(" ",TRIM(I767))-1))
      )
    )
  ),
"yyyy-mm-dd")</f>
        <v>2023-12-10</v>
      </c>
      <c r="K767" s="5" t="str">
        <f t="shared" si="92"/>
        <v>Dec</v>
      </c>
      <c r="L767">
        <v>1699551261</v>
      </c>
      <c r="M767" s="11">
        <f t="shared" si="93"/>
        <v>45239.732187500005</v>
      </c>
      <c r="O767" s="7">
        <f t="shared" si="94"/>
        <v>0</v>
      </c>
      <c r="P767" t="s">
        <v>46</v>
      </c>
      <c r="Q767" s="7" t="str">
        <f t="shared" si="95"/>
        <v>Corporate account</v>
      </c>
    </row>
    <row r="768" spans="1:17">
      <c r="A768">
        <v>1233</v>
      </c>
      <c r="B768" t="s">
        <v>17</v>
      </c>
      <c r="C768" s="9" t="str">
        <f t="shared" si="88"/>
        <v>John Smith</v>
      </c>
      <c r="D768" s="7" t="str">
        <f t="shared" si="89"/>
        <v>John Smith</v>
      </c>
      <c r="E768">
        <v>24</v>
      </c>
      <c r="F768" s="7">
        <f t="shared" si="90"/>
        <v>24</v>
      </c>
      <c r="G768" t="s">
        <v>48</v>
      </c>
      <c r="H768" s="7" t="str">
        <f t="shared" si="91"/>
        <v>France</v>
      </c>
      <c r="I768" t="s">
        <v>717</v>
      </c>
      <c r="J768" s="7" t="str">
        <f>TEXT(
  IFERROR(
    DATEVALUE(SUBSTITUTE(SUBSTITUTE(TRIM(I768),"T"," "),"Z","")),
    IFERROR(
      DATE(
        RIGHT(TRIM(I768),4),
        MID(TRIM(I768),4,2),
        LEFT(TRIM(I768),2)
      ),
      DATE(
        VALUE(RIGHT(TRIM(I768),4)),
        MATCH(LEFT(TRIM(I768),FIND(" ",TRIM(I768))-1),
          {"January","February","March","April","May","June","July","August","September","October","November","December"},0),
        VALUE(MID(TRIM(I768),
          FIND(" ",TRIM(I768))+1,
          FIND(" ",TRIM(I768),FIND(" ",TRIM(I768))+1)-FIND(" ",TRIM(I768))-1))
      )
    )
  ),
"yyyy-mm-dd")</f>
        <v>2023-07-11</v>
      </c>
      <c r="K768" s="5" t="str">
        <f t="shared" si="92"/>
        <v>Jul</v>
      </c>
      <c r="L768">
        <v>1677691588</v>
      </c>
      <c r="M768" s="11">
        <f t="shared" si="93"/>
        <v>44986.726712962962</v>
      </c>
      <c r="N768">
        <v>862.14</v>
      </c>
      <c r="O768" s="7">
        <f t="shared" si="94"/>
        <v>862.14</v>
      </c>
      <c r="P768" t="s">
        <v>52</v>
      </c>
      <c r="Q768" s="7" t="str">
        <f t="shared" si="95"/>
        <v xml:space="preserve">Prefers email </v>
      </c>
    </row>
    <row r="769" spans="1:17">
      <c r="A769">
        <v>1155</v>
      </c>
      <c r="B769" t="s">
        <v>17</v>
      </c>
      <c r="C769" s="9" t="str">
        <f t="shared" si="88"/>
        <v>John Smith</v>
      </c>
      <c r="D769" s="7" t="str">
        <f t="shared" si="89"/>
        <v>John Smith</v>
      </c>
      <c r="E769">
        <v>39</v>
      </c>
      <c r="F769" s="7">
        <f t="shared" si="90"/>
        <v>39</v>
      </c>
      <c r="G769" t="s">
        <v>29</v>
      </c>
      <c r="H769" s="7" t="str">
        <f t="shared" si="91"/>
        <v>United States</v>
      </c>
      <c r="I769" t="s">
        <v>718</v>
      </c>
      <c r="J769" s="7" t="str">
        <f>TEXT(
  IFERROR(
    DATEVALUE(SUBSTITUTE(SUBSTITUTE(TRIM(I769),"T"," "),"Z","")),
    IFERROR(
      DATE(
        RIGHT(TRIM(I769),4),
        MID(TRIM(I769),4,2),
        LEFT(TRIM(I769),2)
      ),
      DATE(
        VALUE(RIGHT(TRIM(I769),4)),
        MATCH(LEFT(TRIM(I769),FIND(" ",TRIM(I769))-1),
          {"January","February","March","April","May","June","July","August","September","October","November","December"},0),
        VALUE(MID(TRIM(I769),
          FIND(" ",TRIM(I769))+1,
          FIND(" ",TRIM(I769),FIND(" ",TRIM(I769))+1)-FIND(" ",TRIM(I769))-1))
      )
    )
  ),
"yyyy-mm-dd")</f>
        <v>2023-03-21</v>
      </c>
      <c r="K769" s="5" t="str">
        <f t="shared" si="92"/>
        <v>Mar</v>
      </c>
      <c r="L769">
        <v>1693533314</v>
      </c>
      <c r="M769" s="11">
        <f t="shared" si="93"/>
        <v>45170.080023148148</v>
      </c>
      <c r="O769" s="7">
        <f t="shared" si="94"/>
        <v>0</v>
      </c>
      <c r="P769" t="s">
        <v>84</v>
      </c>
      <c r="Q769" s="7" t="str">
        <f t="shared" si="95"/>
        <v xml:space="preserve">Newsletter subscriber </v>
      </c>
    </row>
    <row r="770" spans="1:17">
      <c r="A770">
        <v>1217</v>
      </c>
      <c r="B770" t="s">
        <v>78</v>
      </c>
      <c r="C770" s="9" t="str">
        <f t="shared" si="88"/>
        <v>Mia Thompson</v>
      </c>
      <c r="D770" s="7" t="str">
        <f t="shared" si="89"/>
        <v xml:space="preserve"> Mia Thompson </v>
      </c>
      <c r="E770">
        <v>63</v>
      </c>
      <c r="F770" s="7">
        <f t="shared" si="90"/>
        <v>63</v>
      </c>
      <c r="G770" t="s">
        <v>29</v>
      </c>
      <c r="H770" s="7" t="str">
        <f t="shared" si="91"/>
        <v>United States</v>
      </c>
      <c r="I770" t="s">
        <v>214</v>
      </c>
      <c r="J770" s="7" t="str">
        <f>TEXT(
  IFERROR(
    DATEVALUE(SUBSTITUTE(SUBSTITUTE(TRIM(I770),"T"," "),"Z","")),
    IFERROR(
      DATE(
        RIGHT(TRIM(I770),4),
        MID(TRIM(I770),4,2),
        LEFT(TRIM(I770),2)
      ),
      DATE(
        VALUE(RIGHT(TRIM(I770),4)),
        MATCH(LEFT(TRIM(I770),FIND(" ",TRIM(I770))-1),
          {"January","February","March","April","May","June","July","August","September","October","November","December"},0),
        VALUE(MID(TRIM(I770),
          FIND(" ",TRIM(I770))+1,
          FIND(" ",TRIM(I770),FIND(" ",TRIM(I770))+1)-FIND(" ",TRIM(I770))-1))
      )
    )
  ),
"yyyy-mm-dd")</f>
        <v>2023-04-06</v>
      </c>
      <c r="K770" s="5" t="str">
        <f t="shared" si="92"/>
        <v>Apr</v>
      </c>
      <c r="L770">
        <v>1696624618</v>
      </c>
      <c r="M770" s="11">
        <f t="shared" si="93"/>
        <v>45205.85900462963</v>
      </c>
      <c r="N770">
        <v>1427.57</v>
      </c>
      <c r="O770" s="7">
        <f t="shared" si="94"/>
        <v>1427.57</v>
      </c>
      <c r="P770" t="s">
        <v>118</v>
      </c>
      <c r="Q770" s="7" t="str">
        <f t="shared" si="95"/>
        <v>High engagement</v>
      </c>
    </row>
    <row r="771" spans="1:17">
      <c r="A771">
        <v>1809</v>
      </c>
      <c r="B771" t="s">
        <v>185</v>
      </c>
      <c r="C771" s="9" t="str">
        <f t="shared" ref="C771:C834" si="96">TRIM(B771)</f>
        <v>Liam O’Connor</v>
      </c>
      <c r="D771" s="7" t="str">
        <f t="shared" ref="D771:D834" si="97">PROPER(B771)</f>
        <v>Liam O’Connor</v>
      </c>
      <c r="F771" s="7">
        <f t="shared" ref="F771:F834" si="98">IF(OR(E771="", ISBLANK(E771)), MEDIAN($E$2:$E$1501), E771)</f>
        <v>43</v>
      </c>
      <c r="G771" t="s">
        <v>67</v>
      </c>
      <c r="H771" s="7" t="str">
        <f t="shared" ref="H771:H834" si="99">TRIM(G771)</f>
        <v>Sweden</v>
      </c>
      <c r="I771" t="s">
        <v>257</v>
      </c>
      <c r="J771" s="7" t="str">
        <f>TEXT(
  IFERROR(
    DATEVALUE(SUBSTITUTE(SUBSTITUTE(TRIM(I771),"T"," "),"Z","")),
    IFERROR(
      DATE(
        RIGHT(TRIM(I771),4),
        MID(TRIM(I771),4,2),
        LEFT(TRIM(I771),2)
      ),
      DATE(
        VALUE(RIGHT(TRIM(I771),4)),
        MATCH(LEFT(TRIM(I771),FIND(" ",TRIM(I771))-1),
          {"January","February","March","April","May","June","July","August","September","October","November","December"},0),
        VALUE(MID(TRIM(I771),
          FIND(" ",TRIM(I771))+1,
          FIND(" ",TRIM(I771),FIND(" ",TRIM(I771))+1)-FIND(" ",TRIM(I771))-1))
      )
    )
  ),
"yyyy-mm-dd")</f>
        <v>2023-11-24</v>
      </c>
      <c r="K771" s="5" t="str">
        <f t="shared" ref="K771:K834" si="100">TEXT(J771,"mmm")</f>
        <v>Nov</v>
      </c>
      <c r="L771">
        <v>1679847530</v>
      </c>
      <c r="M771" s="11">
        <f t="shared" ref="M771:M834" si="101">((L771)/86400)+DATE(1970,1,1)</f>
        <v>45011.679745370369</v>
      </c>
      <c r="O771" s="7">
        <f t="shared" ref="O771:O834" si="102">IF(N771="", 0, N771)</f>
        <v>0</v>
      </c>
      <c r="P771" t="s">
        <v>40</v>
      </c>
      <c r="Q771" s="7" t="str">
        <f t="shared" ref="Q771:Q834" si="103">SUBSTITUTE(SUBSTITUTE(SUBSTITUTE(P771,"$",""),"%",""),"ñ","n")</f>
        <v xml:space="preserve">VIP client </v>
      </c>
    </row>
    <row r="772" spans="1:17">
      <c r="A772">
        <v>1881</v>
      </c>
      <c r="B772" t="s">
        <v>47</v>
      </c>
      <c r="C772" s="9" t="str">
        <f t="shared" si="96"/>
        <v>Li Wei</v>
      </c>
      <c r="D772" s="7" t="str">
        <f t="shared" si="97"/>
        <v>Li Wei</v>
      </c>
      <c r="E772">
        <v>63</v>
      </c>
      <c r="F772" s="7">
        <f t="shared" si="98"/>
        <v>63</v>
      </c>
      <c r="G772" t="s">
        <v>29</v>
      </c>
      <c r="H772" s="7" t="str">
        <f t="shared" si="99"/>
        <v>United States</v>
      </c>
      <c r="I772" t="s">
        <v>719</v>
      </c>
      <c r="J772" s="7" t="str">
        <f>TEXT(
  IFERROR(
    DATEVALUE(SUBSTITUTE(SUBSTITUTE(TRIM(I772),"T"," "),"Z","")),
    IFERROR(
      DATE(
        RIGHT(TRIM(I772),4),
        MID(TRIM(I772),4,2),
        LEFT(TRIM(I772),2)
      ),
      DATE(
        VALUE(RIGHT(TRIM(I772),4)),
        MATCH(LEFT(TRIM(I772),FIND(" ",TRIM(I772))-1),
          {"January","February","March","April","May","June","July","August","September","October","November","December"},0),
        VALUE(MID(TRIM(I772),
          FIND(" ",TRIM(I772))+1,
          FIND(" ",TRIM(I772),FIND(" ",TRIM(I772))+1)-FIND(" ",TRIM(I772))-1))
      )
    )
  ),
"yyyy-mm-dd")</f>
        <v>2023-06-13</v>
      </c>
      <c r="K772" s="5" t="str">
        <f t="shared" si="100"/>
        <v>Jun</v>
      </c>
      <c r="L772">
        <v>1698407422</v>
      </c>
      <c r="M772" s="11">
        <f t="shared" si="101"/>
        <v>45226.493310185186</v>
      </c>
      <c r="O772" s="7">
        <f t="shared" si="102"/>
        <v>0</v>
      </c>
      <c r="P772" t="s">
        <v>27</v>
      </c>
      <c r="Q772" s="7" t="str">
        <f t="shared" si="103"/>
        <v xml:space="preserve">Holiday signup </v>
      </c>
    </row>
    <row r="773" spans="1:17">
      <c r="A773">
        <v>1135</v>
      </c>
      <c r="B773" t="s">
        <v>164</v>
      </c>
      <c r="C773" s="9" t="str">
        <f t="shared" si="96"/>
        <v>Daniel Kim</v>
      </c>
      <c r="D773" s="7" t="str">
        <f t="shared" si="97"/>
        <v xml:space="preserve"> Daniel Kim </v>
      </c>
      <c r="F773" s="7">
        <f t="shared" si="98"/>
        <v>43</v>
      </c>
      <c r="G773" t="s">
        <v>60</v>
      </c>
      <c r="H773" s="7" t="str">
        <f t="shared" si="99"/>
        <v>Egypt</v>
      </c>
      <c r="I773" t="s">
        <v>720</v>
      </c>
      <c r="J773" s="7" t="str">
        <f>TEXT(
  IFERROR(
    DATEVALUE(SUBSTITUTE(SUBSTITUTE(TRIM(I773),"T"," "),"Z","")),
    IFERROR(
      DATE(
        RIGHT(TRIM(I773),4),
        MID(TRIM(I773),4,2),
        LEFT(TRIM(I773),2)
      ),
      DATE(
        VALUE(RIGHT(TRIM(I773),4)),
        MATCH(LEFT(TRIM(I773),FIND(" ",TRIM(I773))-1),
          {"January","February","March","April","May","June","July","August","September","October","November","December"},0),
        VALUE(MID(TRIM(I773),
          FIND(" ",TRIM(I773))+1,
          FIND(" ",TRIM(I773),FIND(" ",TRIM(I773))+1)-FIND(" ",TRIM(I773))-1))
      )
    )
  ),
"yyyy-mm-dd")</f>
        <v>2023-07-09</v>
      </c>
      <c r="K773" s="5" t="str">
        <f t="shared" si="100"/>
        <v>Jul</v>
      </c>
      <c r="L773">
        <v>1682598623</v>
      </c>
      <c r="M773" s="11">
        <f t="shared" si="101"/>
        <v>45043.521099537036</v>
      </c>
      <c r="O773" s="7">
        <f t="shared" si="102"/>
        <v>0</v>
      </c>
      <c r="P773" t="s">
        <v>46</v>
      </c>
      <c r="Q773" s="7" t="str">
        <f t="shared" si="103"/>
        <v>Corporate account</v>
      </c>
    </row>
    <row r="774" spans="1:17">
      <c r="A774">
        <v>1691</v>
      </c>
      <c r="B774" t="s">
        <v>21</v>
      </c>
      <c r="C774" s="9" t="str">
        <f t="shared" si="96"/>
        <v>David Brown</v>
      </c>
      <c r="D774" s="7" t="str">
        <f t="shared" si="97"/>
        <v xml:space="preserve"> David Brown </v>
      </c>
      <c r="F774" s="7">
        <f t="shared" si="98"/>
        <v>43</v>
      </c>
      <c r="G774" t="s">
        <v>62</v>
      </c>
      <c r="H774" s="7" t="str">
        <f t="shared" si="99"/>
        <v>Ireland</v>
      </c>
      <c r="I774" t="s">
        <v>600</v>
      </c>
      <c r="J774" s="7" t="str">
        <f>TEXT(
  IFERROR(
    DATEVALUE(SUBSTITUTE(SUBSTITUTE(TRIM(I774),"T"," "),"Z","")),
    IFERROR(
      DATE(
        RIGHT(TRIM(I774),4),
        MID(TRIM(I774),4,2),
        LEFT(TRIM(I774),2)
      ),
      DATE(
        VALUE(RIGHT(TRIM(I774),4)),
        MATCH(LEFT(TRIM(I774),FIND(" ",TRIM(I774))-1),
          {"January","February","March","April","May","June","July","August","September","October","November","December"},0),
        VALUE(MID(TRIM(I774),
          FIND(" ",TRIM(I774))+1,
          FIND(" ",TRIM(I774),FIND(" ",TRIM(I774))+1)-FIND(" ",TRIM(I774))-1))
      )
    )
  ),
"yyyy-mm-dd")</f>
        <v>2023-05-23</v>
      </c>
      <c r="K774" s="5" t="str">
        <f t="shared" si="100"/>
        <v>May</v>
      </c>
      <c r="L774">
        <v>1678897532</v>
      </c>
      <c r="M774" s="11">
        <f t="shared" si="101"/>
        <v>45000.684398148151</v>
      </c>
      <c r="O774" s="7">
        <f t="shared" si="102"/>
        <v>0</v>
      </c>
      <c r="P774" t="s">
        <v>118</v>
      </c>
      <c r="Q774" s="7" t="str">
        <f t="shared" si="103"/>
        <v>High engagement</v>
      </c>
    </row>
    <row r="775" spans="1:17">
      <c r="A775">
        <v>1892</v>
      </c>
      <c r="B775" t="s">
        <v>124</v>
      </c>
      <c r="C775" s="9" t="str">
        <f t="shared" si="96"/>
        <v>Sarah Johnson</v>
      </c>
      <c r="D775" s="7" t="str">
        <f t="shared" si="97"/>
        <v>Sarah Johnson</v>
      </c>
      <c r="F775" s="7">
        <f t="shared" si="98"/>
        <v>43</v>
      </c>
      <c r="G775" t="s">
        <v>18</v>
      </c>
      <c r="H775" s="7" t="str">
        <f t="shared" si="99"/>
        <v>United Kingdom</v>
      </c>
      <c r="I775" t="s">
        <v>721</v>
      </c>
      <c r="J775" s="7" t="str">
        <f>TEXT(
  IFERROR(
    DATEVALUE(SUBSTITUTE(SUBSTITUTE(TRIM(I775),"T"," "),"Z","")),
    IFERROR(
      DATE(
        RIGHT(TRIM(I775),4),
        MID(TRIM(I775),4,2),
        LEFT(TRIM(I775),2)
      ),
      DATE(
        VALUE(RIGHT(TRIM(I775),4)),
        MATCH(LEFT(TRIM(I775),FIND(" ",TRIM(I775))-1),
          {"January","February","March","April","May","June","July","August","September","October","November","December"},0),
        VALUE(MID(TRIM(I775),
          FIND(" ",TRIM(I775))+1,
          FIND(" ",TRIM(I775),FIND(" ",TRIM(I775))+1)-FIND(" ",TRIM(I775))-1))
      )
    )
  ),
"yyyy-mm-dd")</f>
        <v>2023-04-02</v>
      </c>
      <c r="K775" s="5" t="str">
        <f t="shared" si="100"/>
        <v>Apr</v>
      </c>
      <c r="L775">
        <v>1696214237</v>
      </c>
      <c r="M775" s="11">
        <f t="shared" si="101"/>
        <v>45201.109224537038</v>
      </c>
      <c r="O775" s="7">
        <f t="shared" si="102"/>
        <v>0</v>
      </c>
      <c r="P775" t="s">
        <v>33</v>
      </c>
      <c r="Q775" s="7" t="str">
        <f t="shared" si="103"/>
        <v>Frequent buyer n</v>
      </c>
    </row>
    <row r="776" spans="1:17">
      <c r="A776">
        <v>2154</v>
      </c>
      <c r="B776" t="s">
        <v>131</v>
      </c>
      <c r="C776" s="9" t="str">
        <f t="shared" si="96"/>
        <v>Isabella Martinez</v>
      </c>
      <c r="D776" s="7" t="str">
        <f t="shared" si="97"/>
        <v>Isabella Martinez</v>
      </c>
      <c r="E776">
        <v>38</v>
      </c>
      <c r="F776" s="7">
        <f t="shared" si="98"/>
        <v>38</v>
      </c>
      <c r="G776" t="s">
        <v>116</v>
      </c>
      <c r="H776" s="7" t="str">
        <f t="shared" si="99"/>
        <v>China</v>
      </c>
      <c r="I776" t="s">
        <v>680</v>
      </c>
      <c r="J776" s="7" t="str">
        <f>TEXT(
  IFERROR(
    DATEVALUE(SUBSTITUTE(SUBSTITUTE(TRIM(I776),"T"," "),"Z","")),
    IFERROR(
      DATE(
        RIGHT(TRIM(I776),4),
        MID(TRIM(I776),4,2),
        LEFT(TRIM(I776),2)
      ),
      DATE(
        VALUE(RIGHT(TRIM(I776),4)),
        MATCH(LEFT(TRIM(I776),FIND(" ",TRIM(I776))-1),
          {"January","February","March","April","May","June","July","August","September","October","November","December"},0),
        VALUE(MID(TRIM(I776),
          FIND(" ",TRIM(I776))+1,
          FIND(" ",TRIM(I776),FIND(" ",TRIM(I776))+1)-FIND(" ",TRIM(I776))-1))
      )
    )
  ),
"yyyy-mm-dd")</f>
        <v>2023-03-17</v>
      </c>
      <c r="K776" s="5" t="str">
        <f t="shared" si="100"/>
        <v>Mar</v>
      </c>
      <c r="L776">
        <v>1683316948</v>
      </c>
      <c r="M776" s="11">
        <f t="shared" si="101"/>
        <v>45051.835046296299</v>
      </c>
      <c r="O776" s="7">
        <f t="shared" si="102"/>
        <v>0</v>
      </c>
      <c r="P776" t="s">
        <v>36</v>
      </c>
      <c r="Q776" s="7" t="str">
        <f t="shared" si="103"/>
        <v>Regular shopper</v>
      </c>
    </row>
    <row r="777" spans="1:17">
      <c r="A777">
        <v>1545</v>
      </c>
      <c r="B777" t="s">
        <v>47</v>
      </c>
      <c r="C777" s="9" t="str">
        <f t="shared" si="96"/>
        <v>Li Wei</v>
      </c>
      <c r="D777" s="7" t="str">
        <f t="shared" si="97"/>
        <v>Li Wei</v>
      </c>
      <c r="E777">
        <v>35</v>
      </c>
      <c r="F777" s="7">
        <f t="shared" si="98"/>
        <v>35</v>
      </c>
      <c r="G777" t="s">
        <v>18</v>
      </c>
      <c r="H777" s="7" t="str">
        <f t="shared" si="99"/>
        <v>United Kingdom</v>
      </c>
      <c r="I777" t="s">
        <v>369</v>
      </c>
      <c r="J777" s="7" t="str">
        <f>TEXT(
  IFERROR(
    DATEVALUE(SUBSTITUTE(SUBSTITUTE(TRIM(I777),"T"," "),"Z","")),
    IFERROR(
      DATE(
        RIGHT(TRIM(I777),4),
        MID(TRIM(I777),4,2),
        LEFT(TRIM(I777),2)
      ),
      DATE(
        VALUE(RIGHT(TRIM(I777),4)),
        MATCH(LEFT(TRIM(I777),FIND(" ",TRIM(I777))-1),
          {"January","February","March","April","May","June","July","August","September","October","November","December"},0),
        VALUE(MID(TRIM(I777),
          FIND(" ",TRIM(I777))+1,
          FIND(" ",TRIM(I777),FIND(" ",TRIM(I777))+1)-FIND(" ",TRIM(I777))-1))
      )
    )
  ),
"yyyy-mm-dd")</f>
        <v>2023-07-06</v>
      </c>
      <c r="K777" s="5" t="str">
        <f t="shared" si="100"/>
        <v>Jul</v>
      </c>
      <c r="L777">
        <v>1688420309</v>
      </c>
      <c r="M777" s="11">
        <f t="shared" si="101"/>
        <v>45110.901724537034</v>
      </c>
      <c r="N777">
        <v>377.41</v>
      </c>
      <c r="O777" s="7">
        <f t="shared" si="102"/>
        <v>377.41</v>
      </c>
      <c r="P777" t="s">
        <v>84</v>
      </c>
      <c r="Q777" s="7" t="str">
        <f t="shared" si="103"/>
        <v xml:space="preserve">Newsletter subscriber </v>
      </c>
    </row>
    <row r="778" spans="1:17">
      <c r="A778">
        <v>1730</v>
      </c>
      <c r="B778" t="s">
        <v>183</v>
      </c>
      <c r="C778" s="9" t="str">
        <f t="shared" si="96"/>
        <v>Mia Thompson</v>
      </c>
      <c r="D778" s="7" t="str">
        <f t="shared" si="97"/>
        <v>Mia Thompson</v>
      </c>
      <c r="F778" s="7">
        <f t="shared" si="98"/>
        <v>43</v>
      </c>
      <c r="G778" t="s">
        <v>60</v>
      </c>
      <c r="H778" s="7" t="str">
        <f t="shared" si="99"/>
        <v>Egypt</v>
      </c>
      <c r="I778" t="s">
        <v>722</v>
      </c>
      <c r="J778" s="7" t="str">
        <f>TEXT(
  IFERROR(
    DATEVALUE(SUBSTITUTE(SUBSTITUTE(TRIM(I778),"T"," "),"Z","")),
    IFERROR(
      DATE(
        RIGHT(TRIM(I778),4),
        MID(TRIM(I778),4,2),
        LEFT(TRIM(I778),2)
      ),
      DATE(
        VALUE(RIGHT(TRIM(I778),4)),
        MATCH(LEFT(TRIM(I778),FIND(" ",TRIM(I778))-1),
          {"January","February","March","April","May","June","July","August","September","October","November","December"},0),
        VALUE(MID(TRIM(I778),
          FIND(" ",TRIM(I778))+1,
          FIND(" ",TRIM(I778),FIND(" ",TRIM(I778))+1)-FIND(" ",TRIM(I778))-1))
      )
    )
  ),
"yyyy-mm-dd")</f>
        <v>2023-06-10</v>
      </c>
      <c r="K778" s="5" t="str">
        <f t="shared" si="100"/>
        <v>Jun</v>
      </c>
      <c r="L778">
        <v>1702159727</v>
      </c>
      <c r="M778" s="11">
        <f t="shared" si="101"/>
        <v>45269.922766203701</v>
      </c>
      <c r="N778">
        <v>809.1</v>
      </c>
      <c r="O778" s="7">
        <f t="shared" si="102"/>
        <v>809.1</v>
      </c>
      <c r="P778" t="s">
        <v>27</v>
      </c>
      <c r="Q778" s="7" t="str">
        <f t="shared" si="103"/>
        <v xml:space="preserve">Holiday signup </v>
      </c>
    </row>
    <row r="779" spans="1:17">
      <c r="A779">
        <v>1247</v>
      </c>
      <c r="B779" t="s">
        <v>107</v>
      </c>
      <c r="C779" s="9" t="str">
        <f t="shared" si="96"/>
        <v>Fatima Ali</v>
      </c>
      <c r="D779" s="7" t="str">
        <f t="shared" si="97"/>
        <v>Fatima Ali</v>
      </c>
      <c r="E779">
        <v>30</v>
      </c>
      <c r="F779" s="7">
        <f t="shared" si="98"/>
        <v>30</v>
      </c>
      <c r="G779" t="s">
        <v>67</v>
      </c>
      <c r="H779" s="7" t="str">
        <f t="shared" si="99"/>
        <v>Sweden</v>
      </c>
      <c r="I779" t="s">
        <v>723</v>
      </c>
      <c r="J779" s="7" t="str">
        <f>TEXT(
  IFERROR(
    DATEVALUE(SUBSTITUTE(SUBSTITUTE(TRIM(I779),"T"," "),"Z","")),
    IFERROR(
      DATE(
        RIGHT(TRIM(I779),4),
        MID(TRIM(I779),4,2),
        LEFT(TRIM(I779),2)
      ),
      DATE(
        VALUE(RIGHT(TRIM(I779),4)),
        MATCH(LEFT(TRIM(I779),FIND(" ",TRIM(I779))-1),
          {"January","February","March","April","May","June","July","August","September","October","November","December"},0),
        VALUE(MID(TRIM(I779),
          FIND(" ",TRIM(I779))+1,
          FIND(" ",TRIM(I779),FIND(" ",TRIM(I779))+1)-FIND(" ",TRIM(I779))-1))
      )
    )
  ),
"yyyy-mm-dd")</f>
        <v>2023-05-25</v>
      </c>
      <c r="K779" s="5" t="str">
        <f t="shared" si="100"/>
        <v>May</v>
      </c>
      <c r="L779">
        <v>1699055801</v>
      </c>
      <c r="M779" s="11">
        <f t="shared" si="101"/>
        <v>45233.997696759259</v>
      </c>
      <c r="N779">
        <v>570.25</v>
      </c>
      <c r="O779" s="7">
        <f t="shared" si="102"/>
        <v>570.25</v>
      </c>
      <c r="P779" t="s">
        <v>58</v>
      </c>
      <c r="Q779" s="7" t="str">
        <f t="shared" si="103"/>
        <v>Student account</v>
      </c>
    </row>
    <row r="780" spans="1:17">
      <c r="A780">
        <v>1783</v>
      </c>
      <c r="B780" t="s">
        <v>143</v>
      </c>
      <c r="C780" s="9" t="str">
        <f t="shared" si="96"/>
        <v>Chloe Dubois</v>
      </c>
      <c r="D780" s="7" t="str">
        <f t="shared" si="97"/>
        <v xml:space="preserve"> Chloe Dubois </v>
      </c>
      <c r="E780">
        <v>46</v>
      </c>
      <c r="F780" s="7">
        <f t="shared" si="98"/>
        <v>46</v>
      </c>
      <c r="G780" t="s">
        <v>54</v>
      </c>
      <c r="H780" s="7" t="str">
        <f t="shared" si="99"/>
        <v>Brazil</v>
      </c>
      <c r="I780" t="s">
        <v>158</v>
      </c>
      <c r="J780" s="7" t="str">
        <f>TEXT(
  IFERROR(
    DATEVALUE(SUBSTITUTE(SUBSTITUTE(TRIM(I780),"T"," "),"Z","")),
    IFERROR(
      DATE(
        RIGHT(TRIM(I780),4),
        MID(TRIM(I780),4,2),
        LEFT(TRIM(I780),2)
      ),
      DATE(
        VALUE(RIGHT(TRIM(I780),4)),
        MATCH(LEFT(TRIM(I780),FIND(" ",TRIM(I780))-1),
          {"January","February","March","April","May","June","July","August","September","October","November","December"},0),
        VALUE(MID(TRIM(I780),
          FIND(" ",TRIM(I780))+1,
          FIND(" ",TRIM(I780),FIND(" ",TRIM(I780))+1)-FIND(" ",TRIM(I780))-1))
      )
    )
  ),
"yyyy-mm-dd")</f>
        <v>2023-08-22</v>
      </c>
      <c r="K780" s="5" t="str">
        <f t="shared" si="100"/>
        <v>Aug</v>
      </c>
      <c r="L780">
        <v>1679160418</v>
      </c>
      <c r="M780" s="11">
        <f t="shared" si="101"/>
        <v>45003.727060185185</v>
      </c>
      <c r="O780" s="7">
        <f t="shared" si="102"/>
        <v>0</v>
      </c>
      <c r="P780" t="s">
        <v>58</v>
      </c>
      <c r="Q780" s="7" t="str">
        <f t="shared" si="103"/>
        <v>Student account</v>
      </c>
    </row>
    <row r="781" spans="1:17">
      <c r="A781">
        <v>1471</v>
      </c>
      <c r="B781" t="s">
        <v>166</v>
      </c>
      <c r="C781" s="9" t="str">
        <f t="shared" si="96"/>
        <v>Daniel Kim</v>
      </c>
      <c r="D781" s="7" t="str">
        <f t="shared" si="97"/>
        <v>Daniel Kim</v>
      </c>
      <c r="E781">
        <v>40</v>
      </c>
      <c r="F781" s="7">
        <f t="shared" si="98"/>
        <v>40</v>
      </c>
      <c r="G781" t="s">
        <v>122</v>
      </c>
      <c r="H781" s="7" t="str">
        <f t="shared" si="99"/>
        <v>Italy</v>
      </c>
      <c r="I781" t="s">
        <v>724</v>
      </c>
      <c r="J781" s="7" t="str">
        <f>TEXT(
  IFERROR(
    DATEVALUE(SUBSTITUTE(SUBSTITUTE(TRIM(I781),"T"," "),"Z","")),
    IFERROR(
      DATE(
        RIGHT(TRIM(I781),4),
        MID(TRIM(I781),4,2),
        LEFT(TRIM(I781),2)
      ),
      DATE(
        VALUE(RIGHT(TRIM(I781),4)),
        MATCH(LEFT(TRIM(I781),FIND(" ",TRIM(I781))-1),
          {"January","February","March","April","May","June","July","August","September","October","November","December"},0),
        VALUE(MID(TRIM(I781),
          FIND(" ",TRIM(I781))+1,
          FIND(" ",TRIM(I781),FIND(" ",TRIM(I781))+1)-FIND(" ",TRIM(I781))-1))
      )
    )
  ),
"yyyy-mm-dd")</f>
        <v>2023-09-18</v>
      </c>
      <c r="K781" s="5" t="str">
        <f t="shared" si="100"/>
        <v>Sep</v>
      </c>
      <c r="L781">
        <v>1685851199</v>
      </c>
      <c r="M781" s="11">
        <f t="shared" si="101"/>
        <v>45081.166655092587</v>
      </c>
      <c r="N781">
        <v>327.04000000000002</v>
      </c>
      <c r="O781" s="7">
        <f t="shared" si="102"/>
        <v>327.04000000000002</v>
      </c>
      <c r="P781" t="s">
        <v>27</v>
      </c>
      <c r="Q781" s="7" t="str">
        <f t="shared" si="103"/>
        <v xml:space="preserve">Holiday signup </v>
      </c>
    </row>
    <row r="782" spans="1:17">
      <c r="A782">
        <v>1577</v>
      </c>
      <c r="B782" t="s">
        <v>37</v>
      </c>
      <c r="C782" s="9" t="str">
        <f t="shared" si="96"/>
        <v>Akira Tanaka</v>
      </c>
      <c r="D782" s="7" t="str">
        <f t="shared" si="97"/>
        <v>Akira Tanaka</v>
      </c>
      <c r="E782">
        <v>50</v>
      </c>
      <c r="F782" s="7">
        <f t="shared" si="98"/>
        <v>50</v>
      </c>
      <c r="G782" t="s">
        <v>22</v>
      </c>
      <c r="H782" s="7" t="str">
        <f t="shared" si="99"/>
        <v>Germany</v>
      </c>
      <c r="I782" t="s">
        <v>725</v>
      </c>
      <c r="J782" s="7" t="str">
        <f>TEXT(
  IFERROR(
    DATEVALUE(SUBSTITUTE(SUBSTITUTE(TRIM(I782),"T"," "),"Z","")),
    IFERROR(
      DATE(
        RIGHT(TRIM(I782),4),
        MID(TRIM(I782),4,2),
        LEFT(TRIM(I782),2)
      ),
      DATE(
        VALUE(RIGHT(TRIM(I782),4)),
        MATCH(LEFT(TRIM(I782),FIND(" ",TRIM(I782))-1),
          {"January","February","March","April","May","June","July","August","September","October","November","December"},0),
        VALUE(MID(TRIM(I782),
          FIND(" ",TRIM(I782))+1,
          FIND(" ",TRIM(I782),FIND(" ",TRIM(I782))+1)-FIND(" ",TRIM(I782))-1))
      )
    )
  ),
"yyyy-mm-dd")</f>
        <v>2023-08-11</v>
      </c>
      <c r="K782" s="5" t="str">
        <f t="shared" si="100"/>
        <v>Aug</v>
      </c>
      <c r="L782">
        <v>1683747479</v>
      </c>
      <c r="M782" s="11">
        <f t="shared" si="101"/>
        <v>45056.818043981482</v>
      </c>
      <c r="O782" s="7">
        <f t="shared" si="102"/>
        <v>0</v>
      </c>
      <c r="P782" t="s">
        <v>118</v>
      </c>
      <c r="Q782" s="7" t="str">
        <f t="shared" si="103"/>
        <v>High engagement</v>
      </c>
    </row>
    <row r="783" spans="1:17">
      <c r="A783">
        <v>1938</v>
      </c>
      <c r="B783" t="s">
        <v>126</v>
      </c>
      <c r="C783" s="9" t="str">
        <f t="shared" si="96"/>
        <v>Noah Martin</v>
      </c>
      <c r="D783" s="7" t="str">
        <f t="shared" si="97"/>
        <v>Noah Martin</v>
      </c>
      <c r="F783" s="7">
        <f t="shared" si="98"/>
        <v>43</v>
      </c>
      <c r="G783" t="s">
        <v>62</v>
      </c>
      <c r="H783" s="7" t="str">
        <f t="shared" si="99"/>
        <v>Ireland</v>
      </c>
      <c r="I783" t="s">
        <v>136</v>
      </c>
      <c r="J783" s="7" t="str">
        <f>TEXT(
  IFERROR(
    DATEVALUE(SUBSTITUTE(SUBSTITUTE(TRIM(I783),"T"," "),"Z","")),
    IFERROR(
      DATE(
        RIGHT(TRIM(I783),4),
        MID(TRIM(I783),4,2),
        LEFT(TRIM(I783),2)
      ),
      DATE(
        VALUE(RIGHT(TRIM(I783),4)),
        MATCH(LEFT(TRIM(I783),FIND(" ",TRIM(I783))-1),
          {"January","February","March","April","May","June","July","August","September","October","November","December"},0),
        VALUE(MID(TRIM(I783),
          FIND(" ",TRIM(I783))+1,
          FIND(" ",TRIM(I783),FIND(" ",TRIM(I783))+1)-FIND(" ",TRIM(I783))-1))
      )
    )
  ),
"yyyy-mm-dd")</f>
        <v>2023-02-11</v>
      </c>
      <c r="K783" s="5" t="str">
        <f t="shared" si="100"/>
        <v>Feb</v>
      </c>
      <c r="L783">
        <v>1699199879</v>
      </c>
      <c r="M783" s="11">
        <f t="shared" si="101"/>
        <v>45235.665266203709</v>
      </c>
      <c r="N783">
        <v>1480.3</v>
      </c>
      <c r="O783" s="7">
        <f t="shared" si="102"/>
        <v>1480.3</v>
      </c>
      <c r="P783" t="s">
        <v>52</v>
      </c>
      <c r="Q783" s="7" t="str">
        <f t="shared" si="103"/>
        <v xml:space="preserve">Prefers email </v>
      </c>
    </row>
    <row r="784" spans="1:17">
      <c r="A784">
        <v>1220</v>
      </c>
      <c r="B784" t="s">
        <v>17</v>
      </c>
      <c r="C784" s="9" t="str">
        <f t="shared" si="96"/>
        <v>John Smith</v>
      </c>
      <c r="D784" s="7" t="str">
        <f t="shared" si="97"/>
        <v>John Smith</v>
      </c>
      <c r="E784">
        <v>57</v>
      </c>
      <c r="F784" s="7">
        <f t="shared" si="98"/>
        <v>57</v>
      </c>
      <c r="G784" t="s">
        <v>54</v>
      </c>
      <c r="H784" s="7" t="str">
        <f t="shared" si="99"/>
        <v>Brazil</v>
      </c>
      <c r="I784" t="s">
        <v>726</v>
      </c>
      <c r="J784" s="7" t="str">
        <f>TEXT(
  IFERROR(
    DATEVALUE(SUBSTITUTE(SUBSTITUTE(TRIM(I784),"T"," "),"Z","")),
    IFERROR(
      DATE(
        RIGHT(TRIM(I784),4),
        MID(TRIM(I784),4,2),
        LEFT(TRIM(I784),2)
      ),
      DATE(
        VALUE(RIGHT(TRIM(I784),4)),
        MATCH(LEFT(TRIM(I784),FIND(" ",TRIM(I784))-1),
          {"January","February","March","April","May","June","July","August","September","October","November","December"},0),
        VALUE(MID(TRIM(I784),
          FIND(" ",TRIM(I784))+1,
          FIND(" ",TRIM(I784),FIND(" ",TRIM(I784))+1)-FIND(" ",TRIM(I784))-1))
      )
    )
  ),
"yyyy-mm-dd")</f>
        <v>2023-01-01</v>
      </c>
      <c r="K784" s="5" t="str">
        <f t="shared" si="100"/>
        <v>Jan</v>
      </c>
      <c r="L784">
        <v>1687457756</v>
      </c>
      <c r="M784" s="11">
        <f t="shared" si="101"/>
        <v>45099.761064814811</v>
      </c>
      <c r="N784">
        <v>578.32000000000005</v>
      </c>
      <c r="O784" s="7">
        <f t="shared" si="102"/>
        <v>578.32000000000005</v>
      </c>
      <c r="P784" t="s">
        <v>52</v>
      </c>
      <c r="Q784" s="7" t="str">
        <f t="shared" si="103"/>
        <v xml:space="preserve">Prefers email </v>
      </c>
    </row>
    <row r="785" spans="1:17">
      <c r="A785">
        <v>2188</v>
      </c>
      <c r="B785" t="s">
        <v>24</v>
      </c>
      <c r="C785" s="9" t="str">
        <f t="shared" si="96"/>
        <v>Renée Dupont</v>
      </c>
      <c r="D785" s="7" t="str">
        <f t="shared" si="97"/>
        <v>Renée Dupont</v>
      </c>
      <c r="E785">
        <v>19</v>
      </c>
      <c r="F785" s="7">
        <f t="shared" si="98"/>
        <v>19</v>
      </c>
      <c r="G785" t="s">
        <v>60</v>
      </c>
      <c r="H785" s="7" t="str">
        <f t="shared" si="99"/>
        <v>Egypt</v>
      </c>
      <c r="I785" t="s">
        <v>727</v>
      </c>
      <c r="J785" s="7" t="str">
        <f>TEXT(
  IFERROR(
    DATEVALUE(SUBSTITUTE(SUBSTITUTE(TRIM(I785),"T"," "),"Z","")),
    IFERROR(
      DATE(
        RIGHT(TRIM(I785),4),
        MID(TRIM(I785),4,2),
        LEFT(TRIM(I785),2)
      ),
      DATE(
        VALUE(RIGHT(TRIM(I785),4)),
        MATCH(LEFT(TRIM(I785),FIND(" ",TRIM(I785))-1),
          {"January","February","March","April","May","June","July","August","September","October","November","December"},0),
        VALUE(MID(TRIM(I785),
          FIND(" ",TRIM(I785))+1,
          FIND(" ",TRIM(I785),FIND(" ",TRIM(I785))+1)-FIND(" ",TRIM(I785))-1))
      )
    )
  ),
"yyyy-mm-dd")</f>
        <v>2023-02-02</v>
      </c>
      <c r="K785" s="5" t="str">
        <f t="shared" si="100"/>
        <v>Feb</v>
      </c>
      <c r="L785">
        <v>1679754160</v>
      </c>
      <c r="M785" s="11">
        <f t="shared" si="101"/>
        <v>45010.599074074074</v>
      </c>
      <c r="O785" s="7">
        <f t="shared" si="102"/>
        <v>0</v>
      </c>
      <c r="P785" t="s">
        <v>20</v>
      </c>
      <c r="Q785" s="7" t="str">
        <f t="shared" si="103"/>
        <v xml:space="preserve">Great customer </v>
      </c>
    </row>
    <row r="786" spans="1:17">
      <c r="A786">
        <v>1077</v>
      </c>
      <c r="B786" t="s">
        <v>131</v>
      </c>
      <c r="C786" s="9" t="str">
        <f t="shared" si="96"/>
        <v>Isabella Martinez</v>
      </c>
      <c r="D786" s="7" t="str">
        <f t="shared" si="97"/>
        <v>Isabella Martinez</v>
      </c>
      <c r="E786">
        <v>47</v>
      </c>
      <c r="F786" s="7">
        <f t="shared" si="98"/>
        <v>47</v>
      </c>
      <c r="G786" t="s">
        <v>29</v>
      </c>
      <c r="H786" s="7" t="str">
        <f t="shared" si="99"/>
        <v>United States</v>
      </c>
      <c r="I786" t="s">
        <v>291</v>
      </c>
      <c r="J786" s="7" t="str">
        <f>TEXT(
  IFERROR(
    DATEVALUE(SUBSTITUTE(SUBSTITUTE(TRIM(I786),"T"," "),"Z","")),
    IFERROR(
      DATE(
        RIGHT(TRIM(I786),4),
        MID(TRIM(I786),4,2),
        LEFT(TRIM(I786),2)
      ),
      DATE(
        VALUE(RIGHT(TRIM(I786),4)),
        MATCH(LEFT(TRIM(I786),FIND(" ",TRIM(I786))-1),
          {"January","February","March","April","May","June","July","August","September","October","November","December"},0),
        VALUE(MID(TRIM(I786),
          FIND(" ",TRIM(I786))+1,
          FIND(" ",TRIM(I786),FIND(" ",TRIM(I786))+1)-FIND(" ",TRIM(I786))-1))
      )
    )
  ),
"yyyy-mm-dd")</f>
        <v>2023-10-23</v>
      </c>
      <c r="K786" s="5" t="str">
        <f t="shared" si="100"/>
        <v>Oct</v>
      </c>
      <c r="L786">
        <v>1694556176</v>
      </c>
      <c r="M786" s="11">
        <f t="shared" si="101"/>
        <v>45181.918703703705</v>
      </c>
      <c r="O786" s="7">
        <f t="shared" si="102"/>
        <v>0</v>
      </c>
      <c r="P786" t="s">
        <v>58</v>
      </c>
      <c r="Q786" s="7" t="str">
        <f t="shared" si="103"/>
        <v>Student account</v>
      </c>
    </row>
    <row r="787" spans="1:17">
      <c r="A787">
        <v>1982</v>
      </c>
      <c r="B787" t="s">
        <v>104</v>
      </c>
      <c r="C787" s="9" t="str">
        <f t="shared" si="96"/>
        <v>David Brown</v>
      </c>
      <c r="D787" s="7" t="str">
        <f t="shared" si="97"/>
        <v>David Brown</v>
      </c>
      <c r="F787" s="7">
        <f t="shared" si="98"/>
        <v>43</v>
      </c>
      <c r="G787" t="s">
        <v>22</v>
      </c>
      <c r="H787" s="7" t="str">
        <f t="shared" si="99"/>
        <v>Germany</v>
      </c>
      <c r="I787" t="s">
        <v>728</v>
      </c>
      <c r="J787" s="7" t="str">
        <f>TEXT(
  IFERROR(
    DATEVALUE(SUBSTITUTE(SUBSTITUTE(TRIM(I787),"T"," "),"Z","")),
    IFERROR(
      DATE(
        RIGHT(TRIM(I787),4),
        MID(TRIM(I787),4,2),
        LEFT(TRIM(I787),2)
      ),
      DATE(
        VALUE(RIGHT(TRIM(I787),4)),
        MATCH(LEFT(TRIM(I787),FIND(" ",TRIM(I787))-1),
          {"January","February","March","April","May","June","July","August","September","October","November","December"},0),
        VALUE(MID(TRIM(I787),
          FIND(" ",TRIM(I787))+1,
          FIND(" ",TRIM(I787),FIND(" ",TRIM(I787))+1)-FIND(" ",TRIM(I787))-1))
      )
    )
  ),
"yyyy-mm-dd")</f>
        <v>2023-05-01</v>
      </c>
      <c r="K787" s="5" t="str">
        <f t="shared" si="100"/>
        <v>May</v>
      </c>
      <c r="L787">
        <v>1699714965</v>
      </c>
      <c r="M787" s="11">
        <f t="shared" si="101"/>
        <v>45241.626909722225</v>
      </c>
      <c r="N787">
        <v>12.9</v>
      </c>
      <c r="O787" s="7">
        <f t="shared" si="102"/>
        <v>12.9</v>
      </c>
      <c r="P787" t="s">
        <v>27</v>
      </c>
      <c r="Q787" s="7" t="str">
        <f t="shared" si="103"/>
        <v xml:space="preserve">Holiday signup </v>
      </c>
    </row>
    <row r="788" spans="1:17">
      <c r="A788">
        <v>1240</v>
      </c>
      <c r="B788" t="s">
        <v>41</v>
      </c>
      <c r="C788" s="9" t="str">
        <f t="shared" si="96"/>
        <v>Lucas Silva</v>
      </c>
      <c r="D788" s="7" t="str">
        <f t="shared" si="97"/>
        <v>Lucas Silva</v>
      </c>
      <c r="F788" s="7">
        <f t="shared" si="98"/>
        <v>43</v>
      </c>
      <c r="G788" t="s">
        <v>67</v>
      </c>
      <c r="H788" s="7" t="str">
        <f t="shared" si="99"/>
        <v>Sweden</v>
      </c>
      <c r="I788" t="s">
        <v>729</v>
      </c>
      <c r="J788" s="7" t="str">
        <f>TEXT(
  IFERROR(
    DATEVALUE(SUBSTITUTE(SUBSTITUTE(TRIM(I788),"T"," "),"Z","")),
    IFERROR(
      DATE(
        RIGHT(TRIM(I788),4),
        MID(TRIM(I788),4,2),
        LEFT(TRIM(I788),2)
      ),
      DATE(
        VALUE(RIGHT(TRIM(I788),4)),
        MATCH(LEFT(TRIM(I788),FIND(" ",TRIM(I788))-1),
          {"January","February","March","April","May","June","July","August","September","October","November","December"},0),
        VALUE(MID(TRIM(I788),
          FIND(" ",TRIM(I788))+1,
          FIND(" ",TRIM(I788),FIND(" ",TRIM(I788))+1)-FIND(" ",TRIM(I788))-1))
      )
    )
  ),
"yyyy-mm-dd")</f>
        <v>2023-12-03</v>
      </c>
      <c r="K788" s="5" t="str">
        <f t="shared" si="100"/>
        <v>Dec</v>
      </c>
      <c r="L788">
        <v>1679874817</v>
      </c>
      <c r="M788" s="11">
        <f t="shared" si="101"/>
        <v>45011.995567129634</v>
      </c>
      <c r="O788" s="7">
        <f t="shared" si="102"/>
        <v>0</v>
      </c>
      <c r="P788" t="s">
        <v>52</v>
      </c>
      <c r="Q788" s="7" t="str">
        <f t="shared" si="103"/>
        <v xml:space="preserve">Prefers email </v>
      </c>
    </row>
    <row r="789" spans="1:17">
      <c r="A789">
        <v>1496</v>
      </c>
      <c r="B789" t="s">
        <v>82</v>
      </c>
      <c r="C789" s="9" t="str">
        <f t="shared" si="96"/>
        <v>Björn Larsson</v>
      </c>
      <c r="D789" s="7" t="str">
        <f t="shared" si="97"/>
        <v>Björn Larsson</v>
      </c>
      <c r="E789">
        <v>52</v>
      </c>
      <c r="F789" s="7">
        <f t="shared" si="98"/>
        <v>52</v>
      </c>
      <c r="G789" t="s">
        <v>18</v>
      </c>
      <c r="H789" s="7" t="str">
        <f t="shared" si="99"/>
        <v>United Kingdom</v>
      </c>
      <c r="I789" t="s">
        <v>270</v>
      </c>
      <c r="J789" s="7" t="str">
        <f>TEXT(
  IFERROR(
    DATEVALUE(SUBSTITUTE(SUBSTITUTE(TRIM(I789),"T"," "),"Z","")),
    IFERROR(
      DATE(
        RIGHT(TRIM(I789),4),
        MID(TRIM(I789),4,2),
        LEFT(TRIM(I789),2)
      ),
      DATE(
        VALUE(RIGHT(TRIM(I789),4)),
        MATCH(LEFT(TRIM(I789),FIND(" ",TRIM(I789))-1),
          {"January","February","March","April","May","June","July","August","September","October","November","December"},0),
        VALUE(MID(TRIM(I789),
          FIND(" ",TRIM(I789))+1,
          FIND(" ",TRIM(I789),FIND(" ",TRIM(I789))+1)-FIND(" ",TRIM(I789))-1))
      )
    )
  ),
"yyyy-mm-dd")</f>
        <v>2023-04-08</v>
      </c>
      <c r="K789" s="5" t="str">
        <f t="shared" si="100"/>
        <v>Apr</v>
      </c>
      <c r="L789">
        <v>1673068252</v>
      </c>
      <c r="M789" s="11">
        <f t="shared" si="101"/>
        <v>44933.215879629628</v>
      </c>
      <c r="N789">
        <v>56.34</v>
      </c>
      <c r="O789" s="7">
        <f t="shared" si="102"/>
        <v>56.34</v>
      </c>
      <c r="P789" t="s">
        <v>40</v>
      </c>
      <c r="Q789" s="7" t="str">
        <f t="shared" si="103"/>
        <v xml:space="preserve">VIP client </v>
      </c>
    </row>
    <row r="790" spans="1:17">
      <c r="A790">
        <v>1795</v>
      </c>
      <c r="B790" t="s">
        <v>34</v>
      </c>
      <c r="C790" s="9" t="str">
        <f t="shared" si="96"/>
        <v>Olivia Wilson</v>
      </c>
      <c r="D790" s="7" t="str">
        <f t="shared" si="97"/>
        <v xml:space="preserve"> Olivia Wilson </v>
      </c>
      <c r="E790">
        <v>57</v>
      </c>
      <c r="F790" s="7">
        <f t="shared" si="98"/>
        <v>57</v>
      </c>
      <c r="G790" t="s">
        <v>60</v>
      </c>
      <c r="H790" s="7" t="str">
        <f t="shared" si="99"/>
        <v>Egypt</v>
      </c>
      <c r="I790" t="s">
        <v>730</v>
      </c>
      <c r="J790" s="7" t="str">
        <f>TEXT(
  IFERROR(
    DATEVALUE(SUBSTITUTE(SUBSTITUTE(TRIM(I790),"T"," "),"Z","")),
    IFERROR(
      DATE(
        RIGHT(TRIM(I790),4),
        MID(TRIM(I790),4,2),
        LEFT(TRIM(I790),2)
      ),
      DATE(
        VALUE(RIGHT(TRIM(I790),4)),
        MATCH(LEFT(TRIM(I790),FIND(" ",TRIM(I790))-1),
          {"January","February","March","April","May","June","July","August","September","October","November","December"},0),
        VALUE(MID(TRIM(I790),
          FIND(" ",TRIM(I790))+1,
          FIND(" ",TRIM(I790),FIND(" ",TRIM(I790))+1)-FIND(" ",TRIM(I790))-1))
      )
    )
  ),
"yyyy-mm-dd")</f>
        <v>2023-11-22</v>
      </c>
      <c r="K790" s="5" t="str">
        <f t="shared" si="100"/>
        <v>Nov</v>
      </c>
      <c r="L790">
        <v>1692433058</v>
      </c>
      <c r="M790" s="11">
        <f t="shared" si="101"/>
        <v>45157.345578703702</v>
      </c>
      <c r="O790" s="7">
        <f t="shared" si="102"/>
        <v>0</v>
      </c>
      <c r="P790" t="s">
        <v>20</v>
      </c>
      <c r="Q790" s="7" t="str">
        <f t="shared" si="103"/>
        <v xml:space="preserve">Great customer </v>
      </c>
    </row>
    <row r="791" spans="1:17">
      <c r="A791">
        <v>1841</v>
      </c>
      <c r="B791" t="s">
        <v>224</v>
      </c>
      <c r="C791" s="9" t="str">
        <f t="shared" si="96"/>
        <v>Anne Müller</v>
      </c>
      <c r="D791" s="7" t="str">
        <f t="shared" si="97"/>
        <v xml:space="preserve"> Anne Müller </v>
      </c>
      <c r="E791">
        <v>55</v>
      </c>
      <c r="F791" s="7">
        <f t="shared" si="98"/>
        <v>55</v>
      </c>
      <c r="G791" t="s">
        <v>29</v>
      </c>
      <c r="H791" s="7" t="str">
        <f t="shared" si="99"/>
        <v>United States</v>
      </c>
      <c r="I791" t="s">
        <v>613</v>
      </c>
      <c r="J791" s="7" t="str">
        <f>TEXT(
  IFERROR(
    DATEVALUE(SUBSTITUTE(SUBSTITUTE(TRIM(I791),"T"," "),"Z","")),
    IFERROR(
      DATE(
        RIGHT(TRIM(I791),4),
        MID(TRIM(I791),4,2),
        LEFT(TRIM(I791),2)
      ),
      DATE(
        VALUE(RIGHT(TRIM(I791),4)),
        MATCH(LEFT(TRIM(I791),FIND(" ",TRIM(I791))-1),
          {"January","February","March","April","May","June","July","August","September","October","November","December"},0),
        VALUE(MID(TRIM(I791),
          FIND(" ",TRIM(I791))+1,
          FIND(" ",TRIM(I791),FIND(" ",TRIM(I791))+1)-FIND(" ",TRIM(I791))-1))
      )
    )
  ),
"yyyy-mm-dd")</f>
        <v>2023-09-17</v>
      </c>
      <c r="K791" s="5" t="str">
        <f t="shared" si="100"/>
        <v>Sep</v>
      </c>
      <c r="L791">
        <v>1674842598</v>
      </c>
      <c r="M791" s="11">
        <f t="shared" si="101"/>
        <v>44953.752291666664</v>
      </c>
      <c r="O791" s="7">
        <f t="shared" si="102"/>
        <v>0</v>
      </c>
      <c r="P791" t="s">
        <v>58</v>
      </c>
      <c r="Q791" s="7" t="str">
        <f t="shared" si="103"/>
        <v>Student account</v>
      </c>
    </row>
    <row r="792" spans="1:17">
      <c r="A792">
        <v>1273</v>
      </c>
      <c r="B792" t="s">
        <v>88</v>
      </c>
      <c r="C792" s="9" t="str">
        <f t="shared" si="96"/>
        <v>André Santos</v>
      </c>
      <c r="D792" s="7" t="str">
        <f t="shared" si="97"/>
        <v>André Santos</v>
      </c>
      <c r="E792">
        <v>18</v>
      </c>
      <c r="F792" s="7">
        <f t="shared" si="98"/>
        <v>18</v>
      </c>
      <c r="G792" t="s">
        <v>67</v>
      </c>
      <c r="H792" s="7" t="str">
        <f t="shared" si="99"/>
        <v>Sweden</v>
      </c>
      <c r="I792" t="s">
        <v>274</v>
      </c>
      <c r="J792" s="7" t="str">
        <f>TEXT(
  IFERROR(
    DATEVALUE(SUBSTITUTE(SUBSTITUTE(TRIM(I792),"T"," "),"Z","")),
    IFERROR(
      DATE(
        RIGHT(TRIM(I792),4),
        MID(TRIM(I792),4,2),
        LEFT(TRIM(I792),2)
      ),
      DATE(
        VALUE(RIGHT(TRIM(I792),4)),
        MATCH(LEFT(TRIM(I792),FIND(" ",TRIM(I792))-1),
          {"January","February","March","April","May","June","July","August","September","October","November","December"},0),
        VALUE(MID(TRIM(I792),
          FIND(" ",TRIM(I792))+1,
          FIND(" ",TRIM(I792),FIND(" ",TRIM(I792))+1)-FIND(" ",TRIM(I792))-1))
      )
    )
  ),
"yyyy-mm-dd")</f>
        <v>2023-01-07</v>
      </c>
      <c r="K792" s="5" t="str">
        <f t="shared" si="100"/>
        <v>Jan</v>
      </c>
      <c r="L792">
        <v>1690125417</v>
      </c>
      <c r="M792" s="11">
        <f t="shared" si="101"/>
        <v>45130.636770833335</v>
      </c>
      <c r="N792">
        <v>1002.21</v>
      </c>
      <c r="O792" s="7">
        <f t="shared" si="102"/>
        <v>1002.21</v>
      </c>
      <c r="P792" t="s">
        <v>58</v>
      </c>
      <c r="Q792" s="7" t="str">
        <f t="shared" si="103"/>
        <v>Student account</v>
      </c>
    </row>
    <row r="793" spans="1:17">
      <c r="A793">
        <v>2109</v>
      </c>
      <c r="B793" t="s">
        <v>146</v>
      </c>
      <c r="C793" s="9" t="str">
        <f t="shared" si="96"/>
        <v>Li Wei</v>
      </c>
      <c r="D793" s="7" t="str">
        <f t="shared" si="97"/>
        <v xml:space="preserve"> Li Wei </v>
      </c>
      <c r="E793">
        <v>26</v>
      </c>
      <c r="F793" s="7">
        <f t="shared" si="98"/>
        <v>26</v>
      </c>
      <c r="G793" t="s">
        <v>29</v>
      </c>
      <c r="H793" s="7" t="str">
        <f t="shared" si="99"/>
        <v>United States</v>
      </c>
      <c r="I793" t="s">
        <v>609</v>
      </c>
      <c r="J793" s="7" t="str">
        <f>TEXT(
  IFERROR(
    DATEVALUE(SUBSTITUTE(SUBSTITUTE(TRIM(I793),"T"," "),"Z","")),
    IFERROR(
      DATE(
        RIGHT(TRIM(I793),4),
        MID(TRIM(I793),4,2),
        LEFT(TRIM(I793),2)
      ),
      DATE(
        VALUE(RIGHT(TRIM(I793),4)),
        MATCH(LEFT(TRIM(I793),FIND(" ",TRIM(I793))-1),
          {"January","February","March","April","May","June","July","August","September","October","November","December"},0),
        VALUE(MID(TRIM(I793),
          FIND(" ",TRIM(I793))+1,
          FIND(" ",TRIM(I793),FIND(" ",TRIM(I793))+1)-FIND(" ",TRIM(I793))-1))
      )
    )
  ),
"yyyy-mm-dd")</f>
        <v>2023-09-02</v>
      </c>
      <c r="K793" s="5" t="str">
        <f t="shared" si="100"/>
        <v>Sep</v>
      </c>
      <c r="L793">
        <v>1674959719</v>
      </c>
      <c r="M793" s="11">
        <f t="shared" si="101"/>
        <v>44955.107858796298</v>
      </c>
      <c r="N793">
        <v>853.57</v>
      </c>
      <c r="O793" s="7">
        <f t="shared" si="102"/>
        <v>853.57</v>
      </c>
      <c r="P793" t="s">
        <v>118</v>
      </c>
      <c r="Q793" s="7" t="str">
        <f t="shared" si="103"/>
        <v>High engagement</v>
      </c>
    </row>
    <row r="794" spans="1:17">
      <c r="A794">
        <v>1922</v>
      </c>
      <c r="B794" t="s">
        <v>183</v>
      </c>
      <c r="C794" s="9" t="str">
        <f t="shared" si="96"/>
        <v>Mia Thompson</v>
      </c>
      <c r="D794" s="7" t="str">
        <f t="shared" si="97"/>
        <v>Mia Thompson</v>
      </c>
      <c r="E794">
        <v>32</v>
      </c>
      <c r="F794" s="7">
        <f t="shared" si="98"/>
        <v>32</v>
      </c>
      <c r="G794" t="s">
        <v>60</v>
      </c>
      <c r="H794" s="7" t="str">
        <f t="shared" si="99"/>
        <v>Egypt</v>
      </c>
      <c r="I794" t="s">
        <v>203</v>
      </c>
      <c r="J794" s="7" t="str">
        <f>TEXT(
  IFERROR(
    DATEVALUE(SUBSTITUTE(SUBSTITUTE(TRIM(I794),"T"," "),"Z","")),
    IFERROR(
      DATE(
        RIGHT(TRIM(I794),4),
        MID(TRIM(I794),4,2),
        LEFT(TRIM(I794),2)
      ),
      DATE(
        VALUE(RIGHT(TRIM(I794),4)),
        MATCH(LEFT(TRIM(I794),FIND(" ",TRIM(I794))-1),
          {"January","February","March","April","May","June","July","August","September","October","November","December"},0),
        VALUE(MID(TRIM(I794),
          FIND(" ",TRIM(I794))+1,
          FIND(" ",TRIM(I794),FIND(" ",TRIM(I794))+1)-FIND(" ",TRIM(I794))-1))
      )
    )
  ),
"yyyy-mm-dd")</f>
        <v>2023-11-11</v>
      </c>
      <c r="K794" s="5" t="str">
        <f t="shared" si="100"/>
        <v>Nov</v>
      </c>
      <c r="L794">
        <v>1702345304</v>
      </c>
      <c r="M794" s="11">
        <f t="shared" si="101"/>
        <v>45272.070648148147</v>
      </c>
      <c r="N794">
        <v>615.73</v>
      </c>
      <c r="O794" s="7">
        <f t="shared" si="102"/>
        <v>615.73</v>
      </c>
      <c r="P794" t="s">
        <v>40</v>
      </c>
      <c r="Q794" s="7" t="str">
        <f t="shared" si="103"/>
        <v xml:space="preserve">VIP client </v>
      </c>
    </row>
    <row r="795" spans="1:17">
      <c r="A795">
        <v>2133</v>
      </c>
      <c r="B795" t="s">
        <v>195</v>
      </c>
      <c r="C795" s="9" t="str">
        <f t="shared" si="96"/>
        <v>Lucas Silva</v>
      </c>
      <c r="D795" s="7" t="str">
        <f t="shared" si="97"/>
        <v xml:space="preserve"> Lucas Silva </v>
      </c>
      <c r="E795">
        <v>55</v>
      </c>
      <c r="F795" s="7">
        <f t="shared" si="98"/>
        <v>55</v>
      </c>
      <c r="G795" t="s">
        <v>48</v>
      </c>
      <c r="H795" s="7" t="str">
        <f t="shared" si="99"/>
        <v>France</v>
      </c>
      <c r="I795" t="s">
        <v>620</v>
      </c>
      <c r="J795" s="7" t="str">
        <f>TEXT(
  IFERROR(
    DATEVALUE(SUBSTITUTE(SUBSTITUTE(TRIM(I795),"T"," "),"Z","")),
    IFERROR(
      DATE(
        RIGHT(TRIM(I795),4),
        MID(TRIM(I795),4,2),
        LEFT(TRIM(I795),2)
      ),
      DATE(
        VALUE(RIGHT(TRIM(I795),4)),
        MATCH(LEFT(TRIM(I795),FIND(" ",TRIM(I795))-1),
          {"January","February","March","April","May","June","July","August","September","October","November","December"},0),
        VALUE(MID(TRIM(I795),
          FIND(" ",TRIM(I795))+1,
          FIND(" ",TRIM(I795),FIND(" ",TRIM(I795))+1)-FIND(" ",TRIM(I795))-1))
      )
    )
  ),
"yyyy-mm-dd")</f>
        <v>2023-02-03</v>
      </c>
      <c r="K795" s="5" t="str">
        <f t="shared" si="100"/>
        <v>Feb</v>
      </c>
      <c r="L795">
        <v>1693951704</v>
      </c>
      <c r="M795" s="11">
        <f t="shared" si="101"/>
        <v>45174.922500000001</v>
      </c>
      <c r="O795" s="7">
        <f t="shared" si="102"/>
        <v>0</v>
      </c>
      <c r="P795" t="s">
        <v>33</v>
      </c>
      <c r="Q795" s="7" t="str">
        <f t="shared" si="103"/>
        <v>Frequent buyer n</v>
      </c>
    </row>
    <row r="796" spans="1:17">
      <c r="A796">
        <v>1255</v>
      </c>
      <c r="B796" t="s">
        <v>126</v>
      </c>
      <c r="C796" s="9" t="str">
        <f t="shared" si="96"/>
        <v>Noah Martin</v>
      </c>
      <c r="D796" s="7" t="str">
        <f t="shared" si="97"/>
        <v>Noah Martin</v>
      </c>
      <c r="E796">
        <v>43</v>
      </c>
      <c r="F796" s="7">
        <f t="shared" si="98"/>
        <v>43</v>
      </c>
      <c r="G796" t="s">
        <v>22</v>
      </c>
      <c r="H796" s="7" t="str">
        <f t="shared" si="99"/>
        <v>Germany</v>
      </c>
      <c r="I796" t="s">
        <v>731</v>
      </c>
      <c r="J796" s="7" t="str">
        <f>TEXT(
  IFERROR(
    DATEVALUE(SUBSTITUTE(SUBSTITUTE(TRIM(I796),"T"," "),"Z","")),
    IFERROR(
      DATE(
        RIGHT(TRIM(I796),4),
        MID(TRIM(I796),4,2),
        LEFT(TRIM(I796),2)
      ),
      DATE(
        VALUE(RIGHT(TRIM(I796),4)),
        MATCH(LEFT(TRIM(I796),FIND(" ",TRIM(I796))-1),
          {"January","February","March","April","May","June","July","August","September","October","November","December"},0),
        VALUE(MID(TRIM(I796),
          FIND(" ",TRIM(I796))+1,
          FIND(" ",TRIM(I796),FIND(" ",TRIM(I796))+1)-FIND(" ",TRIM(I796))-1))
      )
    )
  ),
"yyyy-mm-dd")</f>
        <v>2023-05-11</v>
      </c>
      <c r="K796" s="5" t="str">
        <f t="shared" si="100"/>
        <v>May</v>
      </c>
      <c r="L796">
        <v>1687783232</v>
      </c>
      <c r="M796" s="11">
        <f t="shared" si="101"/>
        <v>45103.528148148151</v>
      </c>
      <c r="O796" s="7">
        <f t="shared" si="102"/>
        <v>0</v>
      </c>
      <c r="P796" t="s">
        <v>46</v>
      </c>
      <c r="Q796" s="7" t="str">
        <f t="shared" si="103"/>
        <v>Corporate account</v>
      </c>
    </row>
    <row r="797" spans="1:17">
      <c r="A797">
        <v>1420</v>
      </c>
      <c r="B797" t="s">
        <v>28</v>
      </c>
      <c r="C797" s="9" t="str">
        <f t="shared" si="96"/>
        <v>Maria Lopez</v>
      </c>
      <c r="D797" s="7" t="str">
        <f t="shared" si="97"/>
        <v>Maria Lopez</v>
      </c>
      <c r="E797">
        <v>54</v>
      </c>
      <c r="F797" s="7">
        <f t="shared" si="98"/>
        <v>54</v>
      </c>
      <c r="G797" t="s">
        <v>18</v>
      </c>
      <c r="H797" s="7" t="str">
        <f t="shared" si="99"/>
        <v>United Kingdom</v>
      </c>
      <c r="I797" t="s">
        <v>732</v>
      </c>
      <c r="J797" s="7" t="str">
        <f>TEXT(
  IFERROR(
    DATEVALUE(SUBSTITUTE(SUBSTITUTE(TRIM(I797),"T"," "),"Z","")),
    IFERROR(
      DATE(
        RIGHT(TRIM(I797),4),
        MID(TRIM(I797),4,2),
        LEFT(TRIM(I797),2)
      ),
      DATE(
        VALUE(RIGHT(TRIM(I797),4)),
        MATCH(LEFT(TRIM(I797),FIND(" ",TRIM(I797))-1),
          {"January","February","March","April","May","June","July","August","September","October","November","December"},0),
        VALUE(MID(TRIM(I797),
          FIND(" ",TRIM(I797))+1,
          FIND(" ",TRIM(I797),FIND(" ",TRIM(I797))+1)-FIND(" ",TRIM(I797))-1))
      )
    )
  ),
"yyyy-mm-dd")</f>
        <v>2023-06-22</v>
      </c>
      <c r="K797" s="5" t="str">
        <f t="shared" si="100"/>
        <v>Jun</v>
      </c>
      <c r="L797">
        <v>1696668828</v>
      </c>
      <c r="M797" s="11">
        <f t="shared" si="101"/>
        <v>45206.370694444442</v>
      </c>
      <c r="O797" s="7">
        <f t="shared" si="102"/>
        <v>0</v>
      </c>
      <c r="P797" t="s">
        <v>40</v>
      </c>
      <c r="Q797" s="7" t="str">
        <f t="shared" si="103"/>
        <v xml:space="preserve">VIP client </v>
      </c>
    </row>
    <row r="798" spans="1:17">
      <c r="A798">
        <v>1473</v>
      </c>
      <c r="B798" t="s">
        <v>72</v>
      </c>
      <c r="C798" s="9" t="str">
        <f t="shared" si="96"/>
        <v>Emily Davis</v>
      </c>
      <c r="D798" s="7" t="str">
        <f t="shared" si="97"/>
        <v>Emily Davis</v>
      </c>
      <c r="E798">
        <v>35</v>
      </c>
      <c r="F798" s="7">
        <f t="shared" si="98"/>
        <v>35</v>
      </c>
      <c r="G798" t="s">
        <v>122</v>
      </c>
      <c r="H798" s="7" t="str">
        <f t="shared" si="99"/>
        <v>Italy</v>
      </c>
      <c r="I798" t="s">
        <v>733</v>
      </c>
      <c r="J798" s="7" t="str">
        <f>TEXT(
  IFERROR(
    DATEVALUE(SUBSTITUTE(SUBSTITUTE(TRIM(I798),"T"," "),"Z","")),
    IFERROR(
      DATE(
        RIGHT(TRIM(I798),4),
        MID(TRIM(I798),4,2),
        LEFT(TRIM(I798),2)
      ),
      DATE(
        VALUE(RIGHT(TRIM(I798),4)),
        MATCH(LEFT(TRIM(I798),FIND(" ",TRIM(I798))-1),
          {"January","February","March","April","May","June","July","August","September","October","November","December"},0),
        VALUE(MID(TRIM(I798),
          FIND(" ",TRIM(I798))+1,
          FIND(" ",TRIM(I798),FIND(" ",TRIM(I798))+1)-FIND(" ",TRIM(I798))-1))
      )
    )
  ),
"yyyy-mm-dd")</f>
        <v>2023-05-02</v>
      </c>
      <c r="K798" s="5" t="str">
        <f t="shared" si="100"/>
        <v>May</v>
      </c>
      <c r="L798">
        <v>1673294210</v>
      </c>
      <c r="M798" s="11">
        <f t="shared" si="101"/>
        <v>44935.831134259264</v>
      </c>
      <c r="O798" s="7">
        <f t="shared" si="102"/>
        <v>0</v>
      </c>
      <c r="P798" t="s">
        <v>40</v>
      </c>
      <c r="Q798" s="7" t="str">
        <f t="shared" si="103"/>
        <v xml:space="preserve">VIP client </v>
      </c>
    </row>
    <row r="799" spans="1:17">
      <c r="A799">
        <v>1505</v>
      </c>
      <c r="B799" t="s">
        <v>53</v>
      </c>
      <c r="C799" s="9" t="str">
        <f t="shared" si="96"/>
        <v>Sofia Rossi</v>
      </c>
      <c r="D799" s="7" t="str">
        <f t="shared" si="97"/>
        <v xml:space="preserve"> Sofia Rossi </v>
      </c>
      <c r="E799">
        <v>47</v>
      </c>
      <c r="F799" s="7">
        <f t="shared" si="98"/>
        <v>47</v>
      </c>
      <c r="G799" t="s">
        <v>48</v>
      </c>
      <c r="H799" s="7" t="str">
        <f t="shared" si="99"/>
        <v>France</v>
      </c>
      <c r="I799" t="s">
        <v>734</v>
      </c>
      <c r="J799" s="7" t="str">
        <f>TEXT(
  IFERROR(
    DATEVALUE(SUBSTITUTE(SUBSTITUTE(TRIM(I799),"T"," "),"Z","")),
    IFERROR(
      DATE(
        RIGHT(TRIM(I799),4),
        MID(TRIM(I799),4,2),
        LEFT(TRIM(I799),2)
      ),
      DATE(
        VALUE(RIGHT(TRIM(I799),4)),
        MATCH(LEFT(TRIM(I799),FIND(" ",TRIM(I799))-1),
          {"January","February","March","April","May","June","July","August","September","October","November","December"},0),
        VALUE(MID(TRIM(I799),
          FIND(" ",TRIM(I799))+1,
          FIND(" ",TRIM(I799),FIND(" ",TRIM(I799))+1)-FIND(" ",TRIM(I799))-1))
      )
    )
  ),
"yyyy-mm-dd")</f>
        <v>2023-04-23</v>
      </c>
      <c r="K799" s="5" t="str">
        <f t="shared" si="100"/>
        <v>Apr</v>
      </c>
      <c r="L799">
        <v>1676127306</v>
      </c>
      <c r="M799" s="11">
        <f t="shared" si="101"/>
        <v>44968.621597222227</v>
      </c>
      <c r="O799" s="7">
        <f t="shared" si="102"/>
        <v>0</v>
      </c>
      <c r="P799" t="s">
        <v>118</v>
      </c>
      <c r="Q799" s="7" t="str">
        <f t="shared" si="103"/>
        <v>High engagement</v>
      </c>
    </row>
    <row r="800" spans="1:17">
      <c r="A800">
        <v>1484</v>
      </c>
      <c r="B800" t="s">
        <v>17</v>
      </c>
      <c r="C800" s="9" t="str">
        <f t="shared" si="96"/>
        <v>John Smith</v>
      </c>
      <c r="D800" s="7" t="str">
        <f t="shared" si="97"/>
        <v>John Smith</v>
      </c>
      <c r="E800">
        <v>56</v>
      </c>
      <c r="F800" s="7">
        <f t="shared" si="98"/>
        <v>56</v>
      </c>
      <c r="G800" t="s">
        <v>29</v>
      </c>
      <c r="H800" s="7" t="str">
        <f t="shared" si="99"/>
        <v>United States</v>
      </c>
      <c r="I800" t="s">
        <v>735</v>
      </c>
      <c r="J800" s="7" t="str">
        <f>TEXT(
  IFERROR(
    DATEVALUE(SUBSTITUTE(SUBSTITUTE(TRIM(I800),"T"," "),"Z","")),
    IFERROR(
      DATE(
        RIGHT(TRIM(I800),4),
        MID(TRIM(I800),4,2),
        LEFT(TRIM(I800),2)
      ),
      DATE(
        VALUE(RIGHT(TRIM(I800),4)),
        MATCH(LEFT(TRIM(I800),FIND(" ",TRIM(I800))-1),
          {"January","February","March","April","May","June","July","August","September","October","November","December"},0),
        VALUE(MID(TRIM(I800),
          FIND(" ",TRIM(I800))+1,
          FIND(" ",TRIM(I800),FIND(" ",TRIM(I800))+1)-FIND(" ",TRIM(I800))-1))
      )
    )
  ),
"yyyy-mm-dd")</f>
        <v>2023-02-04</v>
      </c>
      <c r="K800" s="5" t="str">
        <f t="shared" si="100"/>
        <v>Feb</v>
      </c>
      <c r="L800">
        <v>1681551622</v>
      </c>
      <c r="M800" s="11">
        <f t="shared" si="101"/>
        <v>45031.403032407412</v>
      </c>
      <c r="N800">
        <v>1227.76</v>
      </c>
      <c r="O800" s="7">
        <f t="shared" si="102"/>
        <v>1227.76</v>
      </c>
      <c r="P800" t="s">
        <v>46</v>
      </c>
      <c r="Q800" s="7" t="str">
        <f t="shared" si="103"/>
        <v>Corporate account</v>
      </c>
    </row>
    <row r="801" spans="1:17">
      <c r="A801">
        <v>1558</v>
      </c>
      <c r="B801" t="s">
        <v>80</v>
      </c>
      <c r="C801" s="9" t="str">
        <f t="shared" si="96"/>
        <v>Ahmed Hassan</v>
      </c>
      <c r="D801" s="7" t="str">
        <f t="shared" si="97"/>
        <v>Ahmed Hassan</v>
      </c>
      <c r="E801">
        <v>50</v>
      </c>
      <c r="F801" s="7">
        <f t="shared" si="98"/>
        <v>50</v>
      </c>
      <c r="G801" t="s">
        <v>116</v>
      </c>
      <c r="H801" s="7" t="str">
        <f t="shared" si="99"/>
        <v>China</v>
      </c>
      <c r="I801" t="s">
        <v>736</v>
      </c>
      <c r="J801" s="7" t="str">
        <f>TEXT(
  IFERROR(
    DATEVALUE(SUBSTITUTE(SUBSTITUTE(TRIM(I801),"T"," "),"Z","")),
    IFERROR(
      DATE(
        RIGHT(TRIM(I801),4),
        MID(TRIM(I801),4,2),
        LEFT(TRIM(I801),2)
      ),
      DATE(
        VALUE(RIGHT(TRIM(I801),4)),
        MATCH(LEFT(TRIM(I801),FIND(" ",TRIM(I801))-1),
          {"January","February","March","April","May","June","July","August","September","October","November","December"},0),
        VALUE(MID(TRIM(I801),
          FIND(" ",TRIM(I801))+1,
          FIND(" ",TRIM(I801),FIND(" ",TRIM(I801))+1)-FIND(" ",TRIM(I801))-1))
      )
    )
  ),
"yyyy-mm-dd")</f>
        <v>2023-03-11</v>
      </c>
      <c r="K801" s="5" t="str">
        <f t="shared" si="100"/>
        <v>Mar</v>
      </c>
      <c r="L801">
        <v>1674146171</v>
      </c>
      <c r="M801" s="11">
        <f t="shared" si="101"/>
        <v>44945.691793981481</v>
      </c>
      <c r="N801">
        <v>708.91</v>
      </c>
      <c r="O801" s="7">
        <f t="shared" si="102"/>
        <v>708.91</v>
      </c>
      <c r="P801" t="s">
        <v>40</v>
      </c>
      <c r="Q801" s="7" t="str">
        <f t="shared" si="103"/>
        <v xml:space="preserve">VIP client </v>
      </c>
    </row>
    <row r="802" spans="1:17">
      <c r="A802">
        <v>1160</v>
      </c>
      <c r="B802" t="s">
        <v>78</v>
      </c>
      <c r="C802" s="9" t="str">
        <f t="shared" si="96"/>
        <v>Mia Thompson</v>
      </c>
      <c r="D802" s="7" t="str">
        <f t="shared" si="97"/>
        <v xml:space="preserve"> Mia Thompson </v>
      </c>
      <c r="F802" s="7">
        <f t="shared" si="98"/>
        <v>43</v>
      </c>
      <c r="G802" t="s">
        <v>29</v>
      </c>
      <c r="H802" s="7" t="str">
        <f t="shared" si="99"/>
        <v>United States</v>
      </c>
      <c r="I802" t="s">
        <v>737</v>
      </c>
      <c r="J802" s="7" t="str">
        <f>TEXT(
  IFERROR(
    DATEVALUE(SUBSTITUTE(SUBSTITUTE(TRIM(I802),"T"," "),"Z","")),
    IFERROR(
      DATE(
        RIGHT(TRIM(I802),4),
        MID(TRIM(I802),4,2),
        LEFT(TRIM(I802),2)
      ),
      DATE(
        VALUE(RIGHT(TRIM(I802),4)),
        MATCH(LEFT(TRIM(I802),FIND(" ",TRIM(I802))-1),
          {"January","February","March","April","May","June","July","August","September","October","November","December"},0),
        VALUE(MID(TRIM(I802),
          FIND(" ",TRIM(I802))+1,
          FIND(" ",TRIM(I802),FIND(" ",TRIM(I802))+1)-FIND(" ",TRIM(I802))-1))
      )
    )
  ),
"yyyy-mm-dd")</f>
        <v>2023-09-03</v>
      </c>
      <c r="K802" s="5" t="str">
        <f t="shared" si="100"/>
        <v>Sep</v>
      </c>
      <c r="L802">
        <v>1684351347</v>
      </c>
      <c r="M802" s="11">
        <f t="shared" si="101"/>
        <v>45063.807256944448</v>
      </c>
      <c r="O802" s="7">
        <f t="shared" si="102"/>
        <v>0</v>
      </c>
      <c r="P802" t="s">
        <v>46</v>
      </c>
      <c r="Q802" s="7" t="str">
        <f t="shared" si="103"/>
        <v>Corporate account</v>
      </c>
    </row>
    <row r="803" spans="1:17">
      <c r="A803">
        <v>1304</v>
      </c>
      <c r="B803" t="s">
        <v>143</v>
      </c>
      <c r="C803" s="9" t="str">
        <f t="shared" si="96"/>
        <v>Chloe Dubois</v>
      </c>
      <c r="D803" s="7" t="str">
        <f t="shared" si="97"/>
        <v xml:space="preserve"> Chloe Dubois </v>
      </c>
      <c r="F803" s="7">
        <f t="shared" si="98"/>
        <v>43</v>
      </c>
      <c r="G803" t="s">
        <v>18</v>
      </c>
      <c r="H803" s="7" t="str">
        <f t="shared" si="99"/>
        <v>United Kingdom</v>
      </c>
      <c r="I803" t="s">
        <v>738</v>
      </c>
      <c r="J803" s="7" t="str">
        <f>TEXT(
  IFERROR(
    DATEVALUE(SUBSTITUTE(SUBSTITUTE(TRIM(I803),"T"," "),"Z","")),
    IFERROR(
      DATE(
        RIGHT(TRIM(I803),4),
        MID(TRIM(I803),4,2),
        LEFT(TRIM(I803),2)
      ),
      DATE(
        VALUE(RIGHT(TRIM(I803),4)),
        MATCH(LEFT(TRIM(I803),FIND(" ",TRIM(I803))-1),
          {"January","February","March","April","May","June","July","August","September","October","November","December"},0),
        VALUE(MID(TRIM(I803),
          FIND(" ",TRIM(I803))+1,
          FIND(" ",TRIM(I803),FIND(" ",TRIM(I803))+1)-FIND(" ",TRIM(I803))-1))
      )
    )
  ),
"yyyy-mm-dd")</f>
        <v>2023-02-20</v>
      </c>
      <c r="K803" s="5" t="str">
        <f t="shared" si="100"/>
        <v>Feb</v>
      </c>
      <c r="L803">
        <v>1689497296</v>
      </c>
      <c r="M803" s="11">
        <f t="shared" si="101"/>
        <v>45123.366851851853</v>
      </c>
      <c r="O803" s="7">
        <f t="shared" si="102"/>
        <v>0</v>
      </c>
      <c r="P803" t="s">
        <v>118</v>
      </c>
      <c r="Q803" s="7" t="str">
        <f t="shared" si="103"/>
        <v>High engagement</v>
      </c>
    </row>
    <row r="804" spans="1:17">
      <c r="A804">
        <v>1305</v>
      </c>
      <c r="B804" t="s">
        <v>31</v>
      </c>
      <c r="C804" s="9" t="str">
        <f t="shared" si="96"/>
        <v>Renée Dupont</v>
      </c>
      <c r="D804" s="7" t="str">
        <f t="shared" si="97"/>
        <v xml:space="preserve"> Renée Dupont </v>
      </c>
      <c r="E804">
        <v>21</v>
      </c>
      <c r="F804" s="7">
        <f t="shared" si="98"/>
        <v>21</v>
      </c>
      <c r="G804" t="s">
        <v>18</v>
      </c>
      <c r="H804" s="7" t="str">
        <f t="shared" si="99"/>
        <v>United Kingdom</v>
      </c>
      <c r="I804" t="s">
        <v>739</v>
      </c>
      <c r="J804" s="7" t="str">
        <f>TEXT(
  IFERROR(
    DATEVALUE(SUBSTITUTE(SUBSTITUTE(TRIM(I804),"T"," "),"Z","")),
    IFERROR(
      DATE(
        RIGHT(TRIM(I804),4),
        MID(TRIM(I804),4,2),
        LEFT(TRIM(I804),2)
      ),
      DATE(
        VALUE(RIGHT(TRIM(I804),4)),
        MATCH(LEFT(TRIM(I804),FIND(" ",TRIM(I804))-1),
          {"January","February","March","April","May","June","July","August","September","October","November","December"},0),
        VALUE(MID(TRIM(I804),
          FIND(" ",TRIM(I804))+1,
          FIND(" ",TRIM(I804),FIND(" ",TRIM(I804))+1)-FIND(" ",TRIM(I804))-1))
      )
    )
  ),
"yyyy-mm-dd")</f>
        <v>2023-03-17</v>
      </c>
      <c r="K804" s="5" t="str">
        <f t="shared" si="100"/>
        <v>Mar</v>
      </c>
      <c r="L804">
        <v>1687587262</v>
      </c>
      <c r="M804" s="11">
        <f t="shared" si="101"/>
        <v>45101.259976851856</v>
      </c>
      <c r="N804">
        <v>197.9</v>
      </c>
      <c r="O804" s="7">
        <f t="shared" si="102"/>
        <v>197.9</v>
      </c>
      <c r="P804" t="s">
        <v>58</v>
      </c>
      <c r="Q804" s="7" t="str">
        <f t="shared" si="103"/>
        <v>Student account</v>
      </c>
    </row>
    <row r="805" spans="1:17">
      <c r="A805">
        <v>1764</v>
      </c>
      <c r="B805" t="s">
        <v>195</v>
      </c>
      <c r="C805" s="9" t="str">
        <f t="shared" si="96"/>
        <v>Lucas Silva</v>
      </c>
      <c r="D805" s="7" t="str">
        <f t="shared" si="97"/>
        <v xml:space="preserve"> Lucas Silva </v>
      </c>
      <c r="E805">
        <v>48</v>
      </c>
      <c r="F805" s="7">
        <f t="shared" si="98"/>
        <v>48</v>
      </c>
      <c r="G805" t="s">
        <v>22</v>
      </c>
      <c r="H805" s="7" t="str">
        <f t="shared" si="99"/>
        <v>Germany</v>
      </c>
      <c r="I805" t="s">
        <v>606</v>
      </c>
      <c r="J805" s="7" t="str">
        <f>TEXT(
  IFERROR(
    DATEVALUE(SUBSTITUTE(SUBSTITUTE(TRIM(I805),"T"," "),"Z","")),
    IFERROR(
      DATE(
        RIGHT(TRIM(I805),4),
        MID(TRIM(I805),4,2),
        LEFT(TRIM(I805),2)
      ),
      DATE(
        VALUE(RIGHT(TRIM(I805),4)),
        MATCH(LEFT(TRIM(I805),FIND(" ",TRIM(I805))-1),
          {"January","February","March","April","May","June","July","August","September","October","November","December"},0),
        VALUE(MID(TRIM(I805),
          FIND(" ",TRIM(I805))+1,
          FIND(" ",TRIM(I805),FIND(" ",TRIM(I805))+1)-FIND(" ",TRIM(I805))-1))
      )
    )
  ),
"yyyy-mm-dd")</f>
        <v>2023-03-17</v>
      </c>
      <c r="K805" s="5" t="str">
        <f t="shared" si="100"/>
        <v>Mar</v>
      </c>
      <c r="L805">
        <v>1695352949</v>
      </c>
      <c r="M805" s="11">
        <f t="shared" si="101"/>
        <v>45191.14061342593</v>
      </c>
      <c r="O805" s="7">
        <f t="shared" si="102"/>
        <v>0</v>
      </c>
      <c r="P805" t="s">
        <v>46</v>
      </c>
      <c r="Q805" s="7" t="str">
        <f t="shared" si="103"/>
        <v>Corporate account</v>
      </c>
    </row>
    <row r="806" spans="1:17">
      <c r="A806">
        <v>1673</v>
      </c>
      <c r="B806" t="s">
        <v>124</v>
      </c>
      <c r="C806" s="9" t="str">
        <f t="shared" si="96"/>
        <v>Sarah Johnson</v>
      </c>
      <c r="D806" s="7" t="str">
        <f t="shared" si="97"/>
        <v>Sarah Johnson</v>
      </c>
      <c r="E806">
        <v>18</v>
      </c>
      <c r="F806" s="7">
        <f t="shared" si="98"/>
        <v>18</v>
      </c>
      <c r="G806" t="s">
        <v>44</v>
      </c>
      <c r="H806" s="7" t="str">
        <f t="shared" si="99"/>
        <v>UAE</v>
      </c>
      <c r="I806" t="s">
        <v>577</v>
      </c>
      <c r="J806" s="7" t="str">
        <f>TEXT(
  IFERROR(
    DATEVALUE(SUBSTITUTE(SUBSTITUTE(TRIM(I806),"T"," "),"Z","")),
    IFERROR(
      DATE(
        RIGHT(TRIM(I806),4),
        MID(TRIM(I806),4,2),
        LEFT(TRIM(I806),2)
      ),
      DATE(
        VALUE(RIGHT(TRIM(I806),4)),
        MATCH(LEFT(TRIM(I806),FIND(" ",TRIM(I806))-1),
          {"January","February","March","April","May","June","July","August","September","October","November","December"},0),
        VALUE(MID(TRIM(I806),
          FIND(" ",TRIM(I806))+1,
          FIND(" ",TRIM(I806),FIND(" ",TRIM(I806))+1)-FIND(" ",TRIM(I806))-1))
      )
    )
  ),
"yyyy-mm-dd")</f>
        <v>2023-10-02</v>
      </c>
      <c r="K806" s="5" t="str">
        <f t="shared" si="100"/>
        <v>Oct</v>
      </c>
      <c r="L806">
        <v>1694228448</v>
      </c>
      <c r="M806" s="11">
        <f t="shared" si="101"/>
        <v>45178.125555555554</v>
      </c>
      <c r="O806" s="7">
        <f t="shared" si="102"/>
        <v>0</v>
      </c>
      <c r="P806" t="s">
        <v>20</v>
      </c>
      <c r="Q806" s="7" t="str">
        <f t="shared" si="103"/>
        <v xml:space="preserve">Great customer </v>
      </c>
    </row>
    <row r="807" spans="1:17">
      <c r="A807">
        <v>1251</v>
      </c>
      <c r="B807" t="s">
        <v>131</v>
      </c>
      <c r="C807" s="9" t="str">
        <f t="shared" si="96"/>
        <v>Isabella Martinez</v>
      </c>
      <c r="D807" s="7" t="str">
        <f t="shared" si="97"/>
        <v>Isabella Martinez</v>
      </c>
      <c r="F807" s="7">
        <f t="shared" si="98"/>
        <v>43</v>
      </c>
      <c r="G807" t="s">
        <v>29</v>
      </c>
      <c r="H807" s="7" t="str">
        <f t="shared" si="99"/>
        <v>United States</v>
      </c>
      <c r="I807" t="s">
        <v>740</v>
      </c>
      <c r="J807" s="7" t="str">
        <f>TEXT(
  IFERROR(
    DATEVALUE(SUBSTITUTE(SUBSTITUTE(TRIM(I807),"T"," "),"Z","")),
    IFERROR(
      DATE(
        RIGHT(TRIM(I807),4),
        MID(TRIM(I807),4,2),
        LEFT(TRIM(I807),2)
      ),
      DATE(
        VALUE(RIGHT(TRIM(I807),4)),
        MATCH(LEFT(TRIM(I807),FIND(" ",TRIM(I807))-1),
          {"January","February","March","April","May","June","July","August","September","October","November","December"},0),
        VALUE(MID(TRIM(I807),
          FIND(" ",TRIM(I807))+1,
          FIND(" ",TRIM(I807),FIND(" ",TRIM(I807))+1)-FIND(" ",TRIM(I807))-1))
      )
    )
  ),
"yyyy-mm-dd")</f>
        <v>2023-06-30</v>
      </c>
      <c r="K807" s="5" t="str">
        <f t="shared" si="100"/>
        <v>Jun</v>
      </c>
      <c r="L807">
        <v>1685539115</v>
      </c>
      <c r="M807" s="11">
        <f t="shared" si="101"/>
        <v>45077.554571759261</v>
      </c>
      <c r="O807" s="7">
        <f t="shared" si="102"/>
        <v>0</v>
      </c>
      <c r="P807" t="s">
        <v>20</v>
      </c>
      <c r="Q807" s="7" t="str">
        <f t="shared" si="103"/>
        <v xml:space="preserve">Great customer </v>
      </c>
    </row>
    <row r="808" spans="1:17">
      <c r="A808">
        <v>1697</v>
      </c>
      <c r="B808" t="s">
        <v>126</v>
      </c>
      <c r="C808" s="9" t="str">
        <f t="shared" si="96"/>
        <v>Noah Martin</v>
      </c>
      <c r="D808" s="7" t="str">
        <f t="shared" si="97"/>
        <v>Noah Martin</v>
      </c>
      <c r="E808">
        <v>24</v>
      </c>
      <c r="F808" s="7">
        <f t="shared" si="98"/>
        <v>24</v>
      </c>
      <c r="G808" t="s">
        <v>116</v>
      </c>
      <c r="H808" s="7" t="str">
        <f t="shared" si="99"/>
        <v>China</v>
      </c>
      <c r="I808" t="s">
        <v>741</v>
      </c>
      <c r="J808" s="7" t="str">
        <f>TEXT(
  IFERROR(
    DATEVALUE(SUBSTITUTE(SUBSTITUTE(TRIM(I808),"T"," "),"Z","")),
    IFERROR(
      DATE(
        RIGHT(TRIM(I808),4),
        MID(TRIM(I808),4,2),
        LEFT(TRIM(I808),2)
      ),
      DATE(
        VALUE(RIGHT(TRIM(I808),4)),
        MATCH(LEFT(TRIM(I808),FIND(" ",TRIM(I808))-1),
          {"January","February","March","April","May","June","July","August","September","October","November","December"},0),
        VALUE(MID(TRIM(I808),
          FIND(" ",TRIM(I808))+1,
          FIND(" ",TRIM(I808),FIND(" ",TRIM(I808))+1)-FIND(" ",TRIM(I808))-1))
      )
    )
  ),
"yyyy-mm-dd")</f>
        <v>2023-04-19</v>
      </c>
      <c r="K808" s="5" t="str">
        <f t="shared" si="100"/>
        <v>Apr</v>
      </c>
      <c r="L808">
        <v>1678904163</v>
      </c>
      <c r="M808" s="11">
        <f t="shared" si="101"/>
        <v>45000.761145833334</v>
      </c>
      <c r="O808" s="7">
        <f t="shared" si="102"/>
        <v>0</v>
      </c>
      <c r="P808" t="s">
        <v>27</v>
      </c>
      <c r="Q808" s="7" t="str">
        <f t="shared" si="103"/>
        <v xml:space="preserve">Holiday signup </v>
      </c>
    </row>
    <row r="809" spans="1:17">
      <c r="A809">
        <v>1138</v>
      </c>
      <c r="B809" t="s">
        <v>187</v>
      </c>
      <c r="C809" s="9" t="str">
        <f t="shared" si="96"/>
        <v>André Santos</v>
      </c>
      <c r="D809" s="7" t="str">
        <f t="shared" si="97"/>
        <v xml:space="preserve"> André Santos </v>
      </c>
      <c r="E809">
        <v>49</v>
      </c>
      <c r="F809" s="7">
        <f t="shared" si="98"/>
        <v>49</v>
      </c>
      <c r="G809" t="s">
        <v>111</v>
      </c>
      <c r="H809" s="7" t="str">
        <f t="shared" si="99"/>
        <v>South Korea</v>
      </c>
      <c r="I809" t="s">
        <v>742</v>
      </c>
      <c r="J809" s="7" t="str">
        <f>TEXT(
  IFERROR(
    DATEVALUE(SUBSTITUTE(SUBSTITUTE(TRIM(I809),"T"," "),"Z","")),
    IFERROR(
      DATE(
        RIGHT(TRIM(I809),4),
        MID(TRIM(I809),4,2),
        LEFT(TRIM(I809),2)
      ),
      DATE(
        VALUE(RIGHT(TRIM(I809),4)),
        MATCH(LEFT(TRIM(I809),FIND(" ",TRIM(I809))-1),
          {"January","February","March","April","May","June","July","August","September","October","November","December"},0),
        VALUE(MID(TRIM(I809),
          FIND(" ",TRIM(I809))+1,
          FIND(" ",TRIM(I809),FIND(" ",TRIM(I809))+1)-FIND(" ",TRIM(I809))-1))
      )
    )
  ),
"yyyy-mm-dd")</f>
        <v>2023-07-18</v>
      </c>
      <c r="K809" s="5" t="str">
        <f t="shared" si="100"/>
        <v>Jul</v>
      </c>
      <c r="L809">
        <v>1694083641</v>
      </c>
      <c r="M809" s="11">
        <f t="shared" si="101"/>
        <v>45176.449548611112</v>
      </c>
      <c r="N809">
        <v>559.62</v>
      </c>
      <c r="O809" s="7">
        <f t="shared" si="102"/>
        <v>559.62</v>
      </c>
      <c r="P809" t="s">
        <v>20</v>
      </c>
      <c r="Q809" s="7" t="str">
        <f t="shared" si="103"/>
        <v xml:space="preserve">Great customer </v>
      </c>
    </row>
    <row r="810" spans="1:17">
      <c r="A810">
        <v>1067</v>
      </c>
      <c r="B810" t="s">
        <v>185</v>
      </c>
      <c r="C810" s="9" t="str">
        <f t="shared" si="96"/>
        <v>Liam O’Connor</v>
      </c>
      <c r="D810" s="7" t="str">
        <f t="shared" si="97"/>
        <v>Liam O’Connor</v>
      </c>
      <c r="F810" s="7">
        <f t="shared" si="98"/>
        <v>43</v>
      </c>
      <c r="G810" t="s">
        <v>102</v>
      </c>
      <c r="H810" s="7" t="str">
        <f t="shared" si="99"/>
        <v>Mexico</v>
      </c>
      <c r="I810" t="s">
        <v>743</v>
      </c>
      <c r="J810" s="7" t="str">
        <f>TEXT(
  IFERROR(
    DATEVALUE(SUBSTITUTE(SUBSTITUTE(TRIM(I810),"T"," "),"Z","")),
    IFERROR(
      DATE(
        RIGHT(TRIM(I810),4),
        MID(TRIM(I810),4,2),
        LEFT(TRIM(I810),2)
      ),
      DATE(
        VALUE(RIGHT(TRIM(I810),4)),
        MATCH(LEFT(TRIM(I810),FIND(" ",TRIM(I810))-1),
          {"January","February","March","April","May","June","July","August","September","October","November","December"},0),
        VALUE(MID(TRIM(I810),
          FIND(" ",TRIM(I810))+1,
          FIND(" ",TRIM(I810),FIND(" ",TRIM(I810))+1)-FIND(" ",TRIM(I810))-1))
      )
    )
  ),
"yyyy-mm-dd")</f>
        <v>2023-01-20</v>
      </c>
      <c r="K810" s="5" t="str">
        <f t="shared" si="100"/>
        <v>Jan</v>
      </c>
      <c r="L810">
        <v>1674366574</v>
      </c>
      <c r="M810" s="11">
        <f t="shared" si="101"/>
        <v>44948.242754629631</v>
      </c>
      <c r="N810">
        <v>1409.18</v>
      </c>
      <c r="O810" s="7">
        <f t="shared" si="102"/>
        <v>1409.18</v>
      </c>
      <c r="P810" t="s">
        <v>58</v>
      </c>
      <c r="Q810" s="7" t="str">
        <f t="shared" si="103"/>
        <v>Student account</v>
      </c>
    </row>
    <row r="811" spans="1:17">
      <c r="A811">
        <v>1977</v>
      </c>
      <c r="B811" t="s">
        <v>28</v>
      </c>
      <c r="C811" s="9" t="str">
        <f t="shared" si="96"/>
        <v>Maria Lopez</v>
      </c>
      <c r="D811" s="7" t="str">
        <f t="shared" si="97"/>
        <v>Maria Lopez</v>
      </c>
      <c r="E811">
        <v>43</v>
      </c>
      <c r="F811" s="7">
        <f t="shared" si="98"/>
        <v>43</v>
      </c>
      <c r="G811" t="s">
        <v>18</v>
      </c>
      <c r="H811" s="7" t="str">
        <f t="shared" si="99"/>
        <v>United Kingdom</v>
      </c>
      <c r="I811" t="s">
        <v>328</v>
      </c>
      <c r="J811" s="7" t="str">
        <f>TEXT(
  IFERROR(
    DATEVALUE(SUBSTITUTE(SUBSTITUTE(TRIM(I811),"T"," "),"Z","")),
    IFERROR(
      DATE(
        RIGHT(TRIM(I811),4),
        MID(TRIM(I811),4,2),
        LEFT(TRIM(I811),2)
      ),
      DATE(
        VALUE(RIGHT(TRIM(I811),4)),
        MATCH(LEFT(TRIM(I811),FIND(" ",TRIM(I811))-1),
          {"January","February","March","April","May","June","July","August","September","October","November","December"},0),
        VALUE(MID(TRIM(I811),
          FIND(" ",TRIM(I811))+1,
          FIND(" ",TRIM(I811),FIND(" ",TRIM(I811))+1)-FIND(" ",TRIM(I811))-1))
      )
    )
  ),
"yyyy-mm-dd")</f>
        <v>2023-05-16</v>
      </c>
      <c r="K811" s="5" t="str">
        <f t="shared" si="100"/>
        <v>May</v>
      </c>
      <c r="L811">
        <v>1692349765</v>
      </c>
      <c r="M811" s="11">
        <f t="shared" si="101"/>
        <v>45156.381539351853</v>
      </c>
      <c r="N811">
        <v>1410.09</v>
      </c>
      <c r="O811" s="7">
        <f t="shared" si="102"/>
        <v>1410.09</v>
      </c>
      <c r="P811" t="s">
        <v>52</v>
      </c>
      <c r="Q811" s="7" t="str">
        <f t="shared" si="103"/>
        <v xml:space="preserve">Prefers email </v>
      </c>
    </row>
    <row r="812" spans="1:17">
      <c r="A812">
        <v>1685</v>
      </c>
      <c r="B812" t="s">
        <v>120</v>
      </c>
      <c r="C812" s="9" t="str">
        <f t="shared" si="96"/>
        <v>Sarah Johnson</v>
      </c>
      <c r="D812" s="7" t="str">
        <f t="shared" si="97"/>
        <v xml:space="preserve"> Sarah Johnson </v>
      </c>
      <c r="E812">
        <v>54</v>
      </c>
      <c r="F812" s="7">
        <f t="shared" si="98"/>
        <v>54</v>
      </c>
      <c r="G812" t="s">
        <v>29</v>
      </c>
      <c r="H812" s="7" t="str">
        <f t="shared" si="99"/>
        <v>United States</v>
      </c>
      <c r="I812" t="s">
        <v>744</v>
      </c>
      <c r="J812" s="7" t="str">
        <f>TEXT(
  IFERROR(
    DATEVALUE(SUBSTITUTE(SUBSTITUTE(TRIM(I812),"T"," "),"Z","")),
    IFERROR(
      DATE(
        RIGHT(TRIM(I812),4),
        MID(TRIM(I812),4,2),
        LEFT(TRIM(I812),2)
      ),
      DATE(
        VALUE(RIGHT(TRIM(I812),4)),
        MATCH(LEFT(TRIM(I812),FIND(" ",TRIM(I812))-1),
          {"January","February","March","April","May","June","July","August","September","October","November","December"},0),
        VALUE(MID(TRIM(I812),
          FIND(" ",TRIM(I812))+1,
          FIND(" ",TRIM(I812),FIND(" ",TRIM(I812))+1)-FIND(" ",TRIM(I812))-1))
      )
    )
  ),
"yyyy-mm-dd")</f>
        <v>2023-08-29</v>
      </c>
      <c r="K812" s="5" t="str">
        <f t="shared" si="100"/>
        <v>Aug</v>
      </c>
      <c r="L812">
        <v>1696976747</v>
      </c>
      <c r="M812" s="11">
        <f t="shared" si="101"/>
        <v>45209.934571759259</v>
      </c>
      <c r="N812">
        <v>1065.1600000000001</v>
      </c>
      <c r="O812" s="7">
        <f t="shared" si="102"/>
        <v>1065.1600000000001</v>
      </c>
      <c r="P812" t="s">
        <v>46</v>
      </c>
      <c r="Q812" s="7" t="str">
        <f t="shared" si="103"/>
        <v>Corporate account</v>
      </c>
    </row>
    <row r="813" spans="1:17">
      <c r="A813">
        <v>1557</v>
      </c>
      <c r="B813" t="s">
        <v>101</v>
      </c>
      <c r="C813" s="9" t="str">
        <f t="shared" si="96"/>
        <v>Zoë Kravitz</v>
      </c>
      <c r="D813" s="7" t="str">
        <f t="shared" si="97"/>
        <v>Zoë Kravitz</v>
      </c>
      <c r="F813" s="7">
        <f t="shared" si="98"/>
        <v>43</v>
      </c>
      <c r="G813" t="s">
        <v>29</v>
      </c>
      <c r="H813" s="7" t="str">
        <f t="shared" si="99"/>
        <v>United States</v>
      </c>
      <c r="I813" t="s">
        <v>299</v>
      </c>
      <c r="J813" s="7" t="str">
        <f>TEXT(
  IFERROR(
    DATEVALUE(SUBSTITUTE(SUBSTITUTE(TRIM(I813),"T"," "),"Z","")),
    IFERROR(
      DATE(
        RIGHT(TRIM(I813),4),
        MID(TRIM(I813),4,2),
        LEFT(TRIM(I813),2)
      ),
      DATE(
        VALUE(RIGHT(TRIM(I813),4)),
        MATCH(LEFT(TRIM(I813),FIND(" ",TRIM(I813))-1),
          {"January","February","March","April","May","June","July","August","September","October","November","December"},0),
        VALUE(MID(TRIM(I813),
          FIND(" ",TRIM(I813))+1,
          FIND(" ",TRIM(I813),FIND(" ",TRIM(I813))+1)-FIND(" ",TRIM(I813))-1))
      )
    )
  ),
"yyyy-mm-dd")</f>
        <v>2023-02-02</v>
      </c>
      <c r="K813" s="5" t="str">
        <f t="shared" si="100"/>
        <v>Feb</v>
      </c>
      <c r="L813">
        <v>1702213250</v>
      </c>
      <c r="M813" s="11">
        <f t="shared" si="101"/>
        <v>45270.542245370365</v>
      </c>
      <c r="O813" s="7">
        <f t="shared" si="102"/>
        <v>0</v>
      </c>
      <c r="P813" t="s">
        <v>58</v>
      </c>
      <c r="Q813" s="7" t="str">
        <f t="shared" si="103"/>
        <v>Student account</v>
      </c>
    </row>
    <row r="814" spans="1:17">
      <c r="A814">
        <v>1409</v>
      </c>
      <c r="B814" t="s">
        <v>185</v>
      </c>
      <c r="C814" s="9" t="str">
        <f t="shared" si="96"/>
        <v>Liam O’Connor</v>
      </c>
      <c r="D814" s="7" t="str">
        <f t="shared" si="97"/>
        <v>Liam O’Connor</v>
      </c>
      <c r="E814">
        <v>54</v>
      </c>
      <c r="F814" s="7">
        <f t="shared" si="98"/>
        <v>54</v>
      </c>
      <c r="G814" t="s">
        <v>122</v>
      </c>
      <c r="H814" s="7" t="str">
        <f t="shared" si="99"/>
        <v>Italy</v>
      </c>
      <c r="I814" t="s">
        <v>70</v>
      </c>
      <c r="J814" s="7" t="str">
        <f>TEXT(
  IFERROR(
    DATEVALUE(SUBSTITUTE(SUBSTITUTE(TRIM(I814),"T"," "),"Z","")),
    IFERROR(
      DATE(
        RIGHT(TRIM(I814),4),
        MID(TRIM(I814),4,2),
        LEFT(TRIM(I814),2)
      ),
      DATE(
        VALUE(RIGHT(TRIM(I814),4)),
        MATCH(LEFT(TRIM(I814),FIND(" ",TRIM(I814))-1),
          {"January","February","March","April","May","June","July","August","September","October","November","December"},0),
        VALUE(MID(TRIM(I814),
          FIND(" ",TRIM(I814))+1,
          FIND(" ",TRIM(I814),FIND(" ",TRIM(I814))+1)-FIND(" ",TRIM(I814))-1))
      )
    )
  ),
"yyyy-mm-dd")</f>
        <v>2023-02-19</v>
      </c>
      <c r="K814" s="5" t="str">
        <f t="shared" si="100"/>
        <v>Feb</v>
      </c>
      <c r="L814">
        <v>1688356808</v>
      </c>
      <c r="M814" s="11">
        <f t="shared" si="101"/>
        <v>45110.166759259257</v>
      </c>
      <c r="N814">
        <v>940.68</v>
      </c>
      <c r="O814" s="7">
        <f t="shared" si="102"/>
        <v>940.68</v>
      </c>
      <c r="P814" t="s">
        <v>84</v>
      </c>
      <c r="Q814" s="7" t="str">
        <f t="shared" si="103"/>
        <v xml:space="preserve">Newsletter subscriber </v>
      </c>
    </row>
    <row r="815" spans="1:17">
      <c r="A815">
        <v>1094</v>
      </c>
      <c r="B815" t="s">
        <v>41</v>
      </c>
      <c r="C815" s="9" t="str">
        <f t="shared" si="96"/>
        <v>Lucas Silva</v>
      </c>
      <c r="D815" s="7" t="str">
        <f t="shared" si="97"/>
        <v>Lucas Silva</v>
      </c>
      <c r="F815" s="7">
        <f t="shared" si="98"/>
        <v>43</v>
      </c>
      <c r="G815" t="s">
        <v>60</v>
      </c>
      <c r="H815" s="7" t="str">
        <f t="shared" si="99"/>
        <v>Egypt</v>
      </c>
      <c r="I815" t="s">
        <v>745</v>
      </c>
      <c r="J815" s="7" t="str">
        <f>TEXT(
  IFERROR(
    DATEVALUE(SUBSTITUTE(SUBSTITUTE(TRIM(I815),"T"," "),"Z","")),
    IFERROR(
      DATE(
        RIGHT(TRIM(I815),4),
        MID(TRIM(I815),4,2),
        LEFT(TRIM(I815),2)
      ),
      DATE(
        VALUE(RIGHT(TRIM(I815),4)),
        MATCH(LEFT(TRIM(I815),FIND(" ",TRIM(I815))-1),
          {"January","February","March","April","May","June","July","August","September","October","November","December"},0),
        VALUE(MID(TRIM(I815),
          FIND(" ",TRIM(I815))+1,
          FIND(" ",TRIM(I815),FIND(" ",TRIM(I815))+1)-FIND(" ",TRIM(I815))-1))
      )
    )
  ),
"yyyy-mm-dd")</f>
        <v>2023-04-27</v>
      </c>
      <c r="K815" s="5" t="str">
        <f t="shared" si="100"/>
        <v>Apr</v>
      </c>
      <c r="L815">
        <v>1691396196</v>
      </c>
      <c r="M815" s="11">
        <f t="shared" si="101"/>
        <v>45145.344861111109</v>
      </c>
      <c r="N815">
        <v>34.479999999999997</v>
      </c>
      <c r="O815" s="7">
        <f t="shared" si="102"/>
        <v>34.479999999999997</v>
      </c>
      <c r="P815" t="s">
        <v>52</v>
      </c>
      <c r="Q815" s="7" t="str">
        <f t="shared" si="103"/>
        <v xml:space="preserve">Prefers email </v>
      </c>
    </row>
    <row r="816" spans="1:17">
      <c r="A816">
        <v>1453</v>
      </c>
      <c r="B816" t="s">
        <v>187</v>
      </c>
      <c r="C816" s="9" t="str">
        <f t="shared" si="96"/>
        <v>André Santos</v>
      </c>
      <c r="D816" s="7" t="str">
        <f t="shared" si="97"/>
        <v xml:space="preserve"> André Santos </v>
      </c>
      <c r="E816">
        <v>41</v>
      </c>
      <c r="F816" s="7">
        <f t="shared" si="98"/>
        <v>41</v>
      </c>
      <c r="G816" t="s">
        <v>54</v>
      </c>
      <c r="H816" s="7" t="str">
        <f t="shared" si="99"/>
        <v>Brazil</v>
      </c>
      <c r="I816" t="s">
        <v>384</v>
      </c>
      <c r="J816" s="7" t="str">
        <f>TEXT(
  IFERROR(
    DATEVALUE(SUBSTITUTE(SUBSTITUTE(TRIM(I816),"T"," "),"Z","")),
    IFERROR(
      DATE(
        RIGHT(TRIM(I816),4),
        MID(TRIM(I816),4,2),
        LEFT(TRIM(I816),2)
      ),
      DATE(
        VALUE(RIGHT(TRIM(I816),4)),
        MATCH(LEFT(TRIM(I816),FIND(" ",TRIM(I816))-1),
          {"January","February","March","April","May","June","July","August","September","October","November","December"},0),
        VALUE(MID(TRIM(I816),
          FIND(" ",TRIM(I816))+1,
          FIND(" ",TRIM(I816),FIND(" ",TRIM(I816))+1)-FIND(" ",TRIM(I816))-1))
      )
    )
  ),
"yyyy-mm-dd")</f>
        <v>2023-01-06</v>
      </c>
      <c r="K816" s="5" t="str">
        <f t="shared" si="100"/>
        <v>Jan</v>
      </c>
      <c r="L816">
        <v>1686252399</v>
      </c>
      <c r="M816" s="11">
        <f t="shared" si="101"/>
        <v>45085.810173611113</v>
      </c>
      <c r="O816" s="7">
        <f t="shared" si="102"/>
        <v>0</v>
      </c>
      <c r="P816" t="s">
        <v>27</v>
      </c>
      <c r="Q816" s="7" t="str">
        <f t="shared" si="103"/>
        <v xml:space="preserve">Holiday signup </v>
      </c>
    </row>
    <row r="817" spans="1:17">
      <c r="A817">
        <v>1975</v>
      </c>
      <c r="B817" t="s">
        <v>31</v>
      </c>
      <c r="C817" s="9" t="str">
        <f t="shared" si="96"/>
        <v>Renée Dupont</v>
      </c>
      <c r="D817" s="7" t="str">
        <f t="shared" si="97"/>
        <v xml:space="preserve"> Renée Dupont </v>
      </c>
      <c r="E817">
        <v>60</v>
      </c>
      <c r="F817" s="7">
        <f t="shared" si="98"/>
        <v>60</v>
      </c>
      <c r="G817" t="s">
        <v>29</v>
      </c>
      <c r="H817" s="7" t="str">
        <f t="shared" si="99"/>
        <v>United States</v>
      </c>
      <c r="I817" t="s">
        <v>746</v>
      </c>
      <c r="J817" s="7" t="str">
        <f>TEXT(
  IFERROR(
    DATEVALUE(SUBSTITUTE(SUBSTITUTE(TRIM(I817),"T"," "),"Z","")),
    IFERROR(
      DATE(
        RIGHT(TRIM(I817),4),
        MID(TRIM(I817),4,2),
        LEFT(TRIM(I817),2)
      ),
      DATE(
        VALUE(RIGHT(TRIM(I817),4)),
        MATCH(LEFT(TRIM(I817),FIND(" ",TRIM(I817))-1),
          {"January","February","March","April","May","June","July","August","September","October","November","December"},0),
        VALUE(MID(TRIM(I817),
          FIND(" ",TRIM(I817))+1,
          FIND(" ",TRIM(I817),FIND(" ",TRIM(I817))+1)-FIND(" ",TRIM(I817))-1))
      )
    )
  ),
"yyyy-mm-dd")</f>
        <v>2023-09-08</v>
      </c>
      <c r="K817" s="5" t="str">
        <f t="shared" si="100"/>
        <v>Sep</v>
      </c>
      <c r="L817">
        <v>1699224009</v>
      </c>
      <c r="M817" s="11">
        <f t="shared" si="101"/>
        <v>45235.944548611107</v>
      </c>
      <c r="O817" s="7">
        <f t="shared" si="102"/>
        <v>0</v>
      </c>
      <c r="P817" t="s">
        <v>52</v>
      </c>
      <c r="Q817" s="7" t="str">
        <f t="shared" si="103"/>
        <v xml:space="preserve">Prefers email </v>
      </c>
    </row>
    <row r="818" spans="1:17">
      <c r="A818">
        <v>1337</v>
      </c>
      <c r="B818" t="s">
        <v>17</v>
      </c>
      <c r="C818" s="9" t="str">
        <f t="shared" si="96"/>
        <v>John Smith</v>
      </c>
      <c r="D818" s="7" t="str">
        <f t="shared" si="97"/>
        <v>John Smith</v>
      </c>
      <c r="E818">
        <v>58</v>
      </c>
      <c r="F818" s="7">
        <f t="shared" si="98"/>
        <v>58</v>
      </c>
      <c r="G818" t="s">
        <v>54</v>
      </c>
      <c r="H818" s="7" t="str">
        <f t="shared" si="99"/>
        <v>Brazil</v>
      </c>
      <c r="I818" t="s">
        <v>678</v>
      </c>
      <c r="J818" s="7" t="str">
        <f>TEXT(
  IFERROR(
    DATEVALUE(SUBSTITUTE(SUBSTITUTE(TRIM(I818),"T"," "),"Z","")),
    IFERROR(
      DATE(
        RIGHT(TRIM(I818),4),
        MID(TRIM(I818),4,2),
        LEFT(TRIM(I818),2)
      ),
      DATE(
        VALUE(RIGHT(TRIM(I818),4)),
        MATCH(LEFT(TRIM(I818),FIND(" ",TRIM(I818))-1),
          {"January","February","March","April","May","June","July","August","September","October","November","December"},0),
        VALUE(MID(TRIM(I818),
          FIND(" ",TRIM(I818))+1,
          FIND(" ",TRIM(I818),FIND(" ",TRIM(I818))+1)-FIND(" ",TRIM(I818))-1))
      )
    )
  ),
"yyyy-mm-dd")</f>
        <v>2023-04-09</v>
      </c>
      <c r="K818" s="5" t="str">
        <f t="shared" si="100"/>
        <v>Apr</v>
      </c>
      <c r="L818">
        <v>1700116280</v>
      </c>
      <c r="M818" s="11">
        <f t="shared" si="101"/>
        <v>45246.27175925926</v>
      </c>
      <c r="N818">
        <v>243.86</v>
      </c>
      <c r="O818" s="7">
        <f t="shared" si="102"/>
        <v>243.86</v>
      </c>
      <c r="P818" t="s">
        <v>33</v>
      </c>
      <c r="Q818" s="7" t="str">
        <f t="shared" si="103"/>
        <v>Frequent buyer n</v>
      </c>
    </row>
    <row r="819" spans="1:17">
      <c r="A819">
        <v>1402</v>
      </c>
      <c r="B819" t="s">
        <v>21</v>
      </c>
      <c r="C819" s="9" t="str">
        <f t="shared" si="96"/>
        <v>David Brown</v>
      </c>
      <c r="D819" s="7" t="str">
        <f t="shared" si="97"/>
        <v xml:space="preserve"> David Brown </v>
      </c>
      <c r="E819">
        <v>36</v>
      </c>
      <c r="F819" s="7">
        <f t="shared" si="98"/>
        <v>36</v>
      </c>
      <c r="G819" t="s">
        <v>111</v>
      </c>
      <c r="H819" s="7" t="str">
        <f t="shared" si="99"/>
        <v>South Korea</v>
      </c>
      <c r="I819" t="s">
        <v>747</v>
      </c>
      <c r="J819" s="7" t="str">
        <f>TEXT(
  IFERROR(
    DATEVALUE(SUBSTITUTE(SUBSTITUTE(TRIM(I819),"T"," "),"Z","")),
    IFERROR(
      DATE(
        RIGHT(TRIM(I819),4),
        MID(TRIM(I819),4,2),
        LEFT(TRIM(I819),2)
      ),
      DATE(
        VALUE(RIGHT(TRIM(I819),4)),
        MATCH(LEFT(TRIM(I819),FIND(" ",TRIM(I819))-1),
          {"January","February","March","April","May","June","July","August","September","October","November","December"},0),
        VALUE(MID(TRIM(I819),
          FIND(" ",TRIM(I819))+1,
          FIND(" ",TRIM(I819),FIND(" ",TRIM(I819))+1)-FIND(" ",TRIM(I819))-1))
      )
    )
  ),
"yyyy-mm-dd")</f>
        <v>2023-04-26</v>
      </c>
      <c r="K819" s="5" t="str">
        <f t="shared" si="100"/>
        <v>Apr</v>
      </c>
      <c r="L819">
        <v>1677037575</v>
      </c>
      <c r="M819" s="11">
        <f t="shared" si="101"/>
        <v>44979.157118055555</v>
      </c>
      <c r="N819">
        <v>56.92</v>
      </c>
      <c r="O819" s="7">
        <f t="shared" si="102"/>
        <v>56.92</v>
      </c>
      <c r="P819" t="s">
        <v>84</v>
      </c>
      <c r="Q819" s="7" t="str">
        <f t="shared" si="103"/>
        <v xml:space="preserve">Newsletter subscriber </v>
      </c>
    </row>
    <row r="820" spans="1:17">
      <c r="A820">
        <v>1728</v>
      </c>
      <c r="B820" t="s">
        <v>17</v>
      </c>
      <c r="C820" s="9" t="str">
        <f t="shared" si="96"/>
        <v>John Smith</v>
      </c>
      <c r="D820" s="7" t="str">
        <f t="shared" si="97"/>
        <v>John Smith</v>
      </c>
      <c r="E820">
        <v>58</v>
      </c>
      <c r="F820" s="7">
        <f t="shared" si="98"/>
        <v>58</v>
      </c>
      <c r="G820" t="s">
        <v>18</v>
      </c>
      <c r="H820" s="7" t="str">
        <f t="shared" si="99"/>
        <v>United Kingdom</v>
      </c>
      <c r="I820" t="s">
        <v>748</v>
      </c>
      <c r="J820" s="7" t="str">
        <f>TEXT(
  IFERROR(
    DATEVALUE(SUBSTITUTE(SUBSTITUTE(TRIM(I820),"T"," "),"Z","")),
    IFERROR(
      DATE(
        RIGHT(TRIM(I820),4),
        MID(TRIM(I820),4,2),
        LEFT(TRIM(I820),2)
      ),
      DATE(
        VALUE(RIGHT(TRIM(I820),4)),
        MATCH(LEFT(TRIM(I820),FIND(" ",TRIM(I820))-1),
          {"January","February","March","April","May","June","July","August","September","October","November","December"},0),
        VALUE(MID(TRIM(I820),
          FIND(" ",TRIM(I820))+1,
          FIND(" ",TRIM(I820),FIND(" ",TRIM(I820))+1)-FIND(" ",TRIM(I820))-1))
      )
    )
  ),
"yyyy-mm-dd")</f>
        <v>2023-02-03</v>
      </c>
      <c r="K820" s="5" t="str">
        <f t="shared" si="100"/>
        <v>Feb</v>
      </c>
      <c r="L820">
        <v>1681510235</v>
      </c>
      <c r="M820" s="11">
        <f t="shared" si="101"/>
        <v>45030.924016203702</v>
      </c>
      <c r="N820">
        <v>1204.97</v>
      </c>
      <c r="O820" s="7">
        <f t="shared" si="102"/>
        <v>1204.97</v>
      </c>
      <c r="P820" t="s">
        <v>118</v>
      </c>
      <c r="Q820" s="7" t="str">
        <f t="shared" si="103"/>
        <v>High engagement</v>
      </c>
    </row>
    <row r="821" spans="1:17">
      <c r="A821">
        <v>1518</v>
      </c>
      <c r="B821" t="s">
        <v>50</v>
      </c>
      <c r="C821" s="9" t="str">
        <f t="shared" si="96"/>
        <v>Ahmed Hassan</v>
      </c>
      <c r="D821" s="7" t="str">
        <f t="shared" si="97"/>
        <v xml:space="preserve"> Ahmed Hassan </v>
      </c>
      <c r="E821">
        <v>51</v>
      </c>
      <c r="F821" s="7">
        <f t="shared" si="98"/>
        <v>51</v>
      </c>
      <c r="G821" t="s">
        <v>29</v>
      </c>
      <c r="H821" s="7" t="str">
        <f t="shared" si="99"/>
        <v>United States</v>
      </c>
      <c r="I821" t="s">
        <v>256</v>
      </c>
      <c r="J821" s="7" t="str">
        <f>TEXT(
  IFERROR(
    DATEVALUE(SUBSTITUTE(SUBSTITUTE(TRIM(I821),"T"," "),"Z","")),
    IFERROR(
      DATE(
        RIGHT(TRIM(I821),4),
        MID(TRIM(I821),4,2),
        LEFT(TRIM(I821),2)
      ),
      DATE(
        VALUE(RIGHT(TRIM(I821),4)),
        MATCH(LEFT(TRIM(I821),FIND(" ",TRIM(I821))-1),
          {"January","February","March","April","May","June","July","August","September","October","November","December"},0),
        VALUE(MID(TRIM(I821),
          FIND(" ",TRIM(I821))+1,
          FIND(" ",TRIM(I821),FIND(" ",TRIM(I821))+1)-FIND(" ",TRIM(I821))-1))
      )
    )
  ),
"yyyy-mm-dd")</f>
        <v>2023-05-14</v>
      </c>
      <c r="K821" s="5" t="str">
        <f t="shared" si="100"/>
        <v>May</v>
      </c>
      <c r="L821">
        <v>1701278328</v>
      </c>
      <c r="M821" s="11">
        <f t="shared" si="101"/>
        <v>45259.721388888887</v>
      </c>
      <c r="O821" s="7">
        <f t="shared" si="102"/>
        <v>0</v>
      </c>
      <c r="P821" t="s">
        <v>36</v>
      </c>
      <c r="Q821" s="7" t="str">
        <f t="shared" si="103"/>
        <v>Regular shopper</v>
      </c>
    </row>
    <row r="822" spans="1:17">
      <c r="A822">
        <v>1820</v>
      </c>
      <c r="B822" t="s">
        <v>183</v>
      </c>
      <c r="C822" s="9" t="str">
        <f t="shared" si="96"/>
        <v>Mia Thompson</v>
      </c>
      <c r="D822" s="7" t="str">
        <f t="shared" si="97"/>
        <v>Mia Thompson</v>
      </c>
      <c r="E822">
        <v>28</v>
      </c>
      <c r="F822" s="7">
        <f t="shared" si="98"/>
        <v>28</v>
      </c>
      <c r="G822" t="s">
        <v>102</v>
      </c>
      <c r="H822" s="7" t="str">
        <f t="shared" si="99"/>
        <v>Mexico</v>
      </c>
      <c r="I822" t="s">
        <v>749</v>
      </c>
      <c r="J822" s="7" t="str">
        <f>TEXT(
  IFERROR(
    DATEVALUE(SUBSTITUTE(SUBSTITUTE(TRIM(I822),"T"," "),"Z","")),
    IFERROR(
      DATE(
        RIGHT(TRIM(I822),4),
        MID(TRIM(I822),4,2),
        LEFT(TRIM(I822),2)
      ),
      DATE(
        VALUE(RIGHT(TRIM(I822),4)),
        MATCH(LEFT(TRIM(I822),FIND(" ",TRIM(I822))-1),
          {"January","February","March","April","May","June","July","August","September","October","November","December"},0),
        VALUE(MID(TRIM(I822),
          FIND(" ",TRIM(I822))+1,
          FIND(" ",TRIM(I822),FIND(" ",TRIM(I822))+1)-FIND(" ",TRIM(I822))-1))
      )
    )
  ),
"yyyy-mm-dd")</f>
        <v>2023-07-28</v>
      </c>
      <c r="K822" s="5" t="str">
        <f t="shared" si="100"/>
        <v>Jul</v>
      </c>
      <c r="L822">
        <v>1677845493</v>
      </c>
      <c r="M822" s="11">
        <f t="shared" si="101"/>
        <v>44988.508020833338</v>
      </c>
      <c r="O822" s="7">
        <f t="shared" si="102"/>
        <v>0</v>
      </c>
      <c r="P822" t="s">
        <v>33</v>
      </c>
      <c r="Q822" s="7" t="str">
        <f t="shared" si="103"/>
        <v>Frequent buyer n</v>
      </c>
    </row>
    <row r="823" spans="1:17">
      <c r="A823">
        <v>2114</v>
      </c>
      <c r="B823" t="s">
        <v>92</v>
      </c>
      <c r="C823" s="9" t="str">
        <f t="shared" si="96"/>
        <v>Zoë Kravitz</v>
      </c>
      <c r="D823" s="7" t="str">
        <f t="shared" si="97"/>
        <v xml:space="preserve"> Zoë Kravitz </v>
      </c>
      <c r="E823">
        <v>30</v>
      </c>
      <c r="F823" s="7">
        <f t="shared" si="98"/>
        <v>30</v>
      </c>
      <c r="G823" t="s">
        <v>29</v>
      </c>
      <c r="H823" s="7" t="str">
        <f t="shared" si="99"/>
        <v>United States</v>
      </c>
      <c r="I823" t="s">
        <v>750</v>
      </c>
      <c r="J823" s="7" t="str">
        <f>TEXT(
  IFERROR(
    DATEVALUE(SUBSTITUTE(SUBSTITUTE(TRIM(I823),"T"," "),"Z","")),
    IFERROR(
      DATE(
        RIGHT(TRIM(I823),4),
        MID(TRIM(I823),4,2),
        LEFT(TRIM(I823),2)
      ),
      DATE(
        VALUE(RIGHT(TRIM(I823),4)),
        MATCH(LEFT(TRIM(I823),FIND(" ",TRIM(I823))-1),
          {"January","February","March","April","May","June","July","August","September","October","November","December"},0),
        VALUE(MID(TRIM(I823),
          FIND(" ",TRIM(I823))+1,
          FIND(" ",TRIM(I823),FIND(" ",TRIM(I823))+1)-FIND(" ",TRIM(I823))-1))
      )
    )
  ),
"yyyy-mm-dd")</f>
        <v>2023-08-29</v>
      </c>
      <c r="K823" s="5" t="str">
        <f t="shared" si="100"/>
        <v>Aug</v>
      </c>
      <c r="L823">
        <v>1682849687</v>
      </c>
      <c r="M823" s="11">
        <f t="shared" si="101"/>
        <v>45046.426932870367</v>
      </c>
      <c r="O823" s="7">
        <f t="shared" si="102"/>
        <v>0</v>
      </c>
      <c r="P823" t="s">
        <v>58</v>
      </c>
      <c r="Q823" s="7" t="str">
        <f t="shared" si="103"/>
        <v>Student account</v>
      </c>
    </row>
    <row r="824" spans="1:17">
      <c r="A824">
        <v>1490</v>
      </c>
      <c r="B824" t="s">
        <v>104</v>
      </c>
      <c r="C824" s="9" t="str">
        <f t="shared" si="96"/>
        <v>David Brown</v>
      </c>
      <c r="D824" s="7" t="str">
        <f t="shared" si="97"/>
        <v>David Brown</v>
      </c>
      <c r="E824">
        <v>31</v>
      </c>
      <c r="F824" s="7">
        <f t="shared" si="98"/>
        <v>31</v>
      </c>
      <c r="G824" t="s">
        <v>67</v>
      </c>
      <c r="H824" s="7" t="str">
        <f t="shared" si="99"/>
        <v>Sweden</v>
      </c>
      <c r="I824" t="s">
        <v>380</v>
      </c>
      <c r="J824" s="7" t="str">
        <f>TEXT(
  IFERROR(
    DATEVALUE(SUBSTITUTE(SUBSTITUTE(TRIM(I824),"T"," "),"Z","")),
    IFERROR(
      DATE(
        RIGHT(TRIM(I824),4),
        MID(TRIM(I824),4,2),
        LEFT(TRIM(I824),2)
      ),
      DATE(
        VALUE(RIGHT(TRIM(I824),4)),
        MATCH(LEFT(TRIM(I824),FIND(" ",TRIM(I824))-1),
          {"January","February","March","April","May","June","July","August","September","October","November","December"},0),
        VALUE(MID(TRIM(I824),
          FIND(" ",TRIM(I824))+1,
          FIND(" ",TRIM(I824),FIND(" ",TRIM(I824))+1)-FIND(" ",TRIM(I824))-1))
      )
    )
  ),
"yyyy-mm-dd")</f>
        <v>2023-05-12</v>
      </c>
      <c r="K824" s="5" t="str">
        <f t="shared" si="100"/>
        <v>May</v>
      </c>
      <c r="L824">
        <v>1683096122</v>
      </c>
      <c r="M824" s="11">
        <f t="shared" si="101"/>
        <v>45049.279189814813</v>
      </c>
      <c r="N824">
        <v>1326.39</v>
      </c>
      <c r="O824" s="7">
        <f t="shared" si="102"/>
        <v>1326.39</v>
      </c>
      <c r="P824" t="s">
        <v>118</v>
      </c>
      <c r="Q824" s="7" t="str">
        <f t="shared" si="103"/>
        <v>High engagement</v>
      </c>
    </row>
    <row r="825" spans="1:17">
      <c r="A825">
        <v>1455</v>
      </c>
      <c r="B825" t="s">
        <v>56</v>
      </c>
      <c r="C825" s="9" t="str">
        <f t="shared" si="96"/>
        <v>Carlos García</v>
      </c>
      <c r="D825" s="7" t="str">
        <f t="shared" si="97"/>
        <v>Carlos García</v>
      </c>
      <c r="E825">
        <v>24</v>
      </c>
      <c r="F825" s="7">
        <f t="shared" si="98"/>
        <v>24</v>
      </c>
      <c r="G825" t="s">
        <v>111</v>
      </c>
      <c r="H825" s="7" t="str">
        <f t="shared" si="99"/>
        <v>South Korea</v>
      </c>
      <c r="I825" t="s">
        <v>229</v>
      </c>
      <c r="J825" s="7" t="str">
        <f>TEXT(
  IFERROR(
    DATEVALUE(SUBSTITUTE(SUBSTITUTE(TRIM(I825),"T"," "),"Z","")),
    IFERROR(
      DATE(
        RIGHT(TRIM(I825),4),
        MID(TRIM(I825),4,2),
        LEFT(TRIM(I825),2)
      ),
      DATE(
        VALUE(RIGHT(TRIM(I825),4)),
        MATCH(LEFT(TRIM(I825),FIND(" ",TRIM(I825))-1),
          {"January","February","March","April","May","June","July","August","September","October","November","December"},0),
        VALUE(MID(TRIM(I825),
          FIND(" ",TRIM(I825))+1,
          FIND(" ",TRIM(I825),FIND(" ",TRIM(I825))+1)-FIND(" ",TRIM(I825))-1))
      )
    )
  ),
"yyyy-mm-dd")</f>
        <v>2023-09-27</v>
      </c>
      <c r="K825" s="5" t="str">
        <f t="shared" si="100"/>
        <v>Sep</v>
      </c>
      <c r="L825">
        <v>1696725191</v>
      </c>
      <c r="M825" s="11">
        <f t="shared" si="101"/>
        <v>45207.023043981477</v>
      </c>
      <c r="N825">
        <v>1319.11</v>
      </c>
      <c r="O825" s="7">
        <f t="shared" si="102"/>
        <v>1319.11</v>
      </c>
      <c r="P825" t="s">
        <v>46</v>
      </c>
      <c r="Q825" s="7" t="str">
        <f t="shared" si="103"/>
        <v>Corporate account</v>
      </c>
    </row>
    <row r="826" spans="1:17">
      <c r="A826">
        <v>2075</v>
      </c>
      <c r="B826" t="s">
        <v>94</v>
      </c>
      <c r="C826" s="9" t="str">
        <f t="shared" si="96"/>
        <v>John Smith</v>
      </c>
      <c r="D826" s="7" t="str">
        <f t="shared" si="97"/>
        <v xml:space="preserve"> John Smith </v>
      </c>
      <c r="E826">
        <v>29</v>
      </c>
      <c r="F826" s="7">
        <f t="shared" si="98"/>
        <v>29</v>
      </c>
      <c r="G826" t="s">
        <v>29</v>
      </c>
      <c r="H826" s="7" t="str">
        <f t="shared" si="99"/>
        <v>United States</v>
      </c>
      <c r="I826" t="s">
        <v>326</v>
      </c>
      <c r="J826" s="7" t="str">
        <f>TEXT(
  IFERROR(
    DATEVALUE(SUBSTITUTE(SUBSTITUTE(TRIM(I826),"T"," "),"Z","")),
    IFERROR(
      DATE(
        RIGHT(TRIM(I826),4),
        MID(TRIM(I826),4,2),
        LEFT(TRIM(I826),2)
      ),
      DATE(
        VALUE(RIGHT(TRIM(I826),4)),
        MATCH(LEFT(TRIM(I826),FIND(" ",TRIM(I826))-1),
          {"January","February","March","April","May","June","July","August","September","October","November","December"},0),
        VALUE(MID(TRIM(I826),
          FIND(" ",TRIM(I826))+1,
          FIND(" ",TRIM(I826),FIND(" ",TRIM(I826))+1)-FIND(" ",TRIM(I826))-1))
      )
    )
  ),
"yyyy-mm-dd")</f>
        <v>2023-10-28</v>
      </c>
      <c r="K826" s="5" t="str">
        <f t="shared" si="100"/>
        <v>Oct</v>
      </c>
      <c r="L826">
        <v>1683750926</v>
      </c>
      <c r="M826" s="11">
        <f t="shared" si="101"/>
        <v>45056.857939814814</v>
      </c>
      <c r="N826">
        <v>1170.1600000000001</v>
      </c>
      <c r="O826" s="7">
        <f t="shared" si="102"/>
        <v>1170.1600000000001</v>
      </c>
      <c r="P826" t="s">
        <v>46</v>
      </c>
      <c r="Q826" s="7" t="str">
        <f t="shared" si="103"/>
        <v>Corporate account</v>
      </c>
    </row>
    <row r="827" spans="1:17">
      <c r="A827">
        <v>1492</v>
      </c>
      <c r="B827" t="s">
        <v>64</v>
      </c>
      <c r="C827" s="9" t="str">
        <f t="shared" si="96"/>
        <v>Ethan Clark</v>
      </c>
      <c r="D827" s="7" t="str">
        <f t="shared" si="97"/>
        <v xml:space="preserve"> Ethan Clark </v>
      </c>
      <c r="E827">
        <v>39</v>
      </c>
      <c r="F827" s="7">
        <f t="shared" si="98"/>
        <v>39</v>
      </c>
      <c r="G827" t="s">
        <v>29</v>
      </c>
      <c r="H827" s="7" t="str">
        <f t="shared" si="99"/>
        <v>United States</v>
      </c>
      <c r="I827" t="s">
        <v>751</v>
      </c>
      <c r="J827" s="7" t="str">
        <f>TEXT(
  IFERROR(
    DATEVALUE(SUBSTITUTE(SUBSTITUTE(TRIM(I827),"T"," "),"Z","")),
    IFERROR(
      DATE(
        RIGHT(TRIM(I827),4),
        MID(TRIM(I827),4,2),
        LEFT(TRIM(I827),2)
      ),
      DATE(
        VALUE(RIGHT(TRIM(I827),4)),
        MATCH(LEFT(TRIM(I827),FIND(" ",TRIM(I827))-1),
          {"January","February","March","April","May","June","July","August","September","October","November","December"},0),
        VALUE(MID(TRIM(I827),
          FIND(" ",TRIM(I827))+1,
          FIND(" ",TRIM(I827),FIND(" ",TRIM(I827))+1)-FIND(" ",TRIM(I827))-1))
      )
    )
  ),
"yyyy-mm-dd")</f>
        <v>2023-05-11</v>
      </c>
      <c r="K827" s="5" t="str">
        <f t="shared" si="100"/>
        <v>May</v>
      </c>
      <c r="L827">
        <v>1695858325</v>
      </c>
      <c r="M827" s="11">
        <f t="shared" si="101"/>
        <v>45196.989872685182</v>
      </c>
      <c r="O827" s="7">
        <f t="shared" si="102"/>
        <v>0</v>
      </c>
      <c r="P827" t="s">
        <v>33</v>
      </c>
      <c r="Q827" s="7" t="str">
        <f t="shared" si="103"/>
        <v>Frequent buyer n</v>
      </c>
    </row>
    <row r="828" spans="1:17">
      <c r="A828">
        <v>2065</v>
      </c>
      <c r="B828" t="s">
        <v>148</v>
      </c>
      <c r="C828" s="9" t="str">
        <f t="shared" si="96"/>
        <v>Chloe Dubois</v>
      </c>
      <c r="D828" s="7" t="str">
        <f t="shared" si="97"/>
        <v>Chloe Dubois</v>
      </c>
      <c r="F828" s="7">
        <f t="shared" si="98"/>
        <v>43</v>
      </c>
      <c r="G828" t="s">
        <v>29</v>
      </c>
      <c r="H828" s="7" t="str">
        <f t="shared" si="99"/>
        <v>United States</v>
      </c>
      <c r="I828" t="s">
        <v>433</v>
      </c>
      <c r="J828" s="7" t="str">
        <f>TEXT(
  IFERROR(
    DATEVALUE(SUBSTITUTE(SUBSTITUTE(TRIM(I828),"T"," "),"Z","")),
    IFERROR(
      DATE(
        RIGHT(TRIM(I828),4),
        MID(TRIM(I828),4,2),
        LEFT(TRIM(I828),2)
      ),
      DATE(
        VALUE(RIGHT(TRIM(I828),4)),
        MATCH(LEFT(TRIM(I828),FIND(" ",TRIM(I828))-1),
          {"January","February","March","April","May","June","July","August","September","October","November","December"},0),
        VALUE(MID(TRIM(I828),
          FIND(" ",TRIM(I828))+1,
          FIND(" ",TRIM(I828),FIND(" ",TRIM(I828))+1)-FIND(" ",TRIM(I828))-1))
      )
    )
  ),
"yyyy-mm-dd")</f>
        <v>2023-06-22</v>
      </c>
      <c r="K828" s="5" t="str">
        <f t="shared" si="100"/>
        <v>Jun</v>
      </c>
      <c r="L828">
        <v>1689045381</v>
      </c>
      <c r="M828" s="11">
        <f t="shared" si="101"/>
        <v>45118.136354166665</v>
      </c>
      <c r="O828" s="7">
        <f t="shared" si="102"/>
        <v>0</v>
      </c>
      <c r="P828" t="s">
        <v>118</v>
      </c>
      <c r="Q828" s="7" t="str">
        <f t="shared" si="103"/>
        <v>High engagement</v>
      </c>
    </row>
    <row r="829" spans="1:17">
      <c r="A829">
        <v>1417</v>
      </c>
      <c r="B829" t="s">
        <v>90</v>
      </c>
      <c r="C829" s="9" t="str">
        <f t="shared" si="96"/>
        <v>Olivia Wilson</v>
      </c>
      <c r="D829" s="7" t="str">
        <f t="shared" si="97"/>
        <v>Olivia Wilson</v>
      </c>
      <c r="E829">
        <v>56</v>
      </c>
      <c r="F829" s="7">
        <f t="shared" si="98"/>
        <v>56</v>
      </c>
      <c r="G829" t="s">
        <v>116</v>
      </c>
      <c r="H829" s="7" t="str">
        <f t="shared" si="99"/>
        <v>China</v>
      </c>
      <c r="I829" t="s">
        <v>752</v>
      </c>
      <c r="J829" s="7" t="str">
        <f>TEXT(
  IFERROR(
    DATEVALUE(SUBSTITUTE(SUBSTITUTE(TRIM(I829),"T"," "),"Z","")),
    IFERROR(
      DATE(
        RIGHT(TRIM(I829),4),
        MID(TRIM(I829),4,2),
        LEFT(TRIM(I829),2)
      ),
      DATE(
        VALUE(RIGHT(TRIM(I829),4)),
        MATCH(LEFT(TRIM(I829),FIND(" ",TRIM(I829))-1),
          {"January","February","March","April","May","June","July","August","September","October","November","December"},0),
        VALUE(MID(TRIM(I829),
          FIND(" ",TRIM(I829))+1,
          FIND(" ",TRIM(I829),FIND(" ",TRIM(I829))+1)-FIND(" ",TRIM(I829))-1))
      )
    )
  ),
"yyyy-mm-dd")</f>
        <v>2023-03-20</v>
      </c>
      <c r="K829" s="5" t="str">
        <f t="shared" si="100"/>
        <v>Mar</v>
      </c>
      <c r="L829">
        <v>1674962716</v>
      </c>
      <c r="M829" s="11">
        <f t="shared" si="101"/>
        <v>44955.142546296294</v>
      </c>
      <c r="N829">
        <v>487.36</v>
      </c>
      <c r="O829" s="7">
        <f t="shared" si="102"/>
        <v>487.36</v>
      </c>
      <c r="P829" t="s">
        <v>52</v>
      </c>
      <c r="Q829" s="7" t="str">
        <f t="shared" si="103"/>
        <v xml:space="preserve">Prefers email </v>
      </c>
    </row>
    <row r="830" spans="1:17">
      <c r="A830">
        <v>1098</v>
      </c>
      <c r="B830" t="s">
        <v>80</v>
      </c>
      <c r="C830" s="9" t="str">
        <f t="shared" si="96"/>
        <v>Ahmed Hassan</v>
      </c>
      <c r="D830" s="7" t="str">
        <f t="shared" si="97"/>
        <v>Ahmed Hassan</v>
      </c>
      <c r="E830">
        <v>55</v>
      </c>
      <c r="F830" s="7">
        <f t="shared" si="98"/>
        <v>55</v>
      </c>
      <c r="G830" t="s">
        <v>29</v>
      </c>
      <c r="H830" s="7" t="str">
        <f t="shared" si="99"/>
        <v>United States</v>
      </c>
      <c r="I830" t="s">
        <v>753</v>
      </c>
      <c r="J830" s="7" t="str">
        <f>TEXT(
  IFERROR(
    DATEVALUE(SUBSTITUTE(SUBSTITUTE(TRIM(I830),"T"," "),"Z","")),
    IFERROR(
      DATE(
        RIGHT(TRIM(I830),4),
        MID(TRIM(I830),4,2),
        LEFT(TRIM(I830),2)
      ),
      DATE(
        VALUE(RIGHT(TRIM(I830),4)),
        MATCH(LEFT(TRIM(I830),FIND(" ",TRIM(I830))-1),
          {"January","February","March","April","May","June","July","August","September","October","November","December"},0),
        VALUE(MID(TRIM(I830),
          FIND(" ",TRIM(I830))+1,
          FIND(" ",TRIM(I830),FIND(" ",TRIM(I830))+1)-FIND(" ",TRIM(I830))-1))
      )
    )
  ),
"yyyy-mm-dd")</f>
        <v>2023-05-29</v>
      </c>
      <c r="K830" s="5" t="str">
        <f t="shared" si="100"/>
        <v>May</v>
      </c>
      <c r="L830">
        <v>1691787179</v>
      </c>
      <c r="M830" s="11">
        <f t="shared" si="101"/>
        <v>45149.870127314818</v>
      </c>
      <c r="N830">
        <v>280.85000000000002</v>
      </c>
      <c r="O830" s="7">
        <f t="shared" si="102"/>
        <v>280.85000000000002</v>
      </c>
      <c r="P830" t="s">
        <v>36</v>
      </c>
      <c r="Q830" s="7" t="str">
        <f t="shared" si="103"/>
        <v>Regular shopper</v>
      </c>
    </row>
    <row r="831" spans="1:17">
      <c r="A831">
        <v>1677</v>
      </c>
      <c r="B831" t="s">
        <v>164</v>
      </c>
      <c r="C831" s="9" t="str">
        <f t="shared" si="96"/>
        <v>Daniel Kim</v>
      </c>
      <c r="D831" s="7" t="str">
        <f t="shared" si="97"/>
        <v xml:space="preserve"> Daniel Kim </v>
      </c>
      <c r="F831" s="7">
        <f t="shared" si="98"/>
        <v>43</v>
      </c>
      <c r="G831" t="s">
        <v>22</v>
      </c>
      <c r="H831" s="7" t="str">
        <f t="shared" si="99"/>
        <v>Germany</v>
      </c>
      <c r="I831" t="s">
        <v>522</v>
      </c>
      <c r="J831" s="7" t="str">
        <f>TEXT(
  IFERROR(
    DATEVALUE(SUBSTITUTE(SUBSTITUTE(TRIM(I831),"T"," "),"Z","")),
    IFERROR(
      DATE(
        RIGHT(TRIM(I831),4),
        MID(TRIM(I831),4,2),
        LEFT(TRIM(I831),2)
      ),
      DATE(
        VALUE(RIGHT(TRIM(I831),4)),
        MATCH(LEFT(TRIM(I831),FIND(" ",TRIM(I831))-1),
          {"January","February","March","April","May","June","July","August","September","October","November","December"},0),
        VALUE(MID(TRIM(I831),
          FIND(" ",TRIM(I831))+1,
          FIND(" ",TRIM(I831),FIND(" ",TRIM(I831))+1)-FIND(" ",TRIM(I831))-1))
      )
    )
  ),
"yyyy-mm-dd")</f>
        <v>2023-03-31</v>
      </c>
      <c r="K831" s="5" t="str">
        <f t="shared" si="100"/>
        <v>Mar</v>
      </c>
      <c r="L831">
        <v>1676159786</v>
      </c>
      <c r="M831" s="11">
        <f t="shared" si="101"/>
        <v>44968.997523148151</v>
      </c>
      <c r="N831">
        <v>285.58</v>
      </c>
      <c r="O831" s="7">
        <f t="shared" si="102"/>
        <v>285.58</v>
      </c>
      <c r="P831" t="s">
        <v>58</v>
      </c>
      <c r="Q831" s="7" t="str">
        <f t="shared" si="103"/>
        <v>Student account</v>
      </c>
    </row>
    <row r="832" spans="1:17">
      <c r="A832">
        <v>1929</v>
      </c>
      <c r="B832" t="s">
        <v>74</v>
      </c>
      <c r="C832" s="9" t="str">
        <f t="shared" si="96"/>
        <v>Sofia Rossi</v>
      </c>
      <c r="D832" s="7" t="str">
        <f t="shared" si="97"/>
        <v>Sofia Rossi</v>
      </c>
      <c r="E832">
        <v>58</v>
      </c>
      <c r="F832" s="7">
        <f t="shared" si="98"/>
        <v>58</v>
      </c>
      <c r="G832" t="s">
        <v>111</v>
      </c>
      <c r="H832" s="7" t="str">
        <f t="shared" si="99"/>
        <v>South Korea</v>
      </c>
      <c r="I832" t="s">
        <v>273</v>
      </c>
      <c r="J832" s="7" t="str">
        <f>TEXT(
  IFERROR(
    DATEVALUE(SUBSTITUTE(SUBSTITUTE(TRIM(I832),"T"," "),"Z","")),
    IFERROR(
      DATE(
        RIGHT(TRIM(I832),4),
        MID(TRIM(I832),4,2),
        LEFT(TRIM(I832),2)
      ),
      DATE(
        VALUE(RIGHT(TRIM(I832),4)),
        MATCH(LEFT(TRIM(I832),FIND(" ",TRIM(I832))-1),
          {"January","February","March","April","May","June","July","August","September","October","November","December"},0),
        VALUE(MID(TRIM(I832),
          FIND(" ",TRIM(I832))+1,
          FIND(" ",TRIM(I832),FIND(" ",TRIM(I832))+1)-FIND(" ",TRIM(I832))-1))
      )
    )
  ),
"yyyy-mm-dd")</f>
        <v>2023-11-25</v>
      </c>
      <c r="K832" s="5" t="str">
        <f t="shared" si="100"/>
        <v>Nov</v>
      </c>
      <c r="L832">
        <v>1693561879</v>
      </c>
      <c r="M832" s="11">
        <f t="shared" si="101"/>
        <v>45170.410636574074</v>
      </c>
      <c r="O832" s="7">
        <f t="shared" si="102"/>
        <v>0</v>
      </c>
      <c r="P832" t="s">
        <v>40</v>
      </c>
      <c r="Q832" s="7" t="str">
        <f t="shared" si="103"/>
        <v xml:space="preserve">VIP client </v>
      </c>
    </row>
    <row r="833" spans="1:17">
      <c r="A833">
        <v>1788</v>
      </c>
      <c r="B833" t="s">
        <v>28</v>
      </c>
      <c r="C833" s="9" t="str">
        <f t="shared" si="96"/>
        <v>Maria Lopez</v>
      </c>
      <c r="D833" s="7" t="str">
        <f t="shared" si="97"/>
        <v>Maria Lopez</v>
      </c>
      <c r="E833">
        <v>62</v>
      </c>
      <c r="F833" s="7">
        <f t="shared" si="98"/>
        <v>62</v>
      </c>
      <c r="G833" t="s">
        <v>29</v>
      </c>
      <c r="H833" s="7" t="str">
        <f t="shared" si="99"/>
        <v>United States</v>
      </c>
      <c r="I833" t="s">
        <v>754</v>
      </c>
      <c r="J833" s="7" t="str">
        <f>TEXT(
  IFERROR(
    DATEVALUE(SUBSTITUTE(SUBSTITUTE(TRIM(I833),"T"," "),"Z","")),
    IFERROR(
      DATE(
        RIGHT(TRIM(I833),4),
        MID(TRIM(I833),4,2),
        LEFT(TRIM(I833),2)
      ),
      DATE(
        VALUE(RIGHT(TRIM(I833),4)),
        MATCH(LEFT(TRIM(I833),FIND(" ",TRIM(I833))-1),
          {"January","February","March","April","May","June","July","August","September","October","November","December"},0),
        VALUE(MID(TRIM(I833),
          FIND(" ",TRIM(I833))+1,
          FIND(" ",TRIM(I833),FIND(" ",TRIM(I833))+1)-FIND(" ",TRIM(I833))-1))
      )
    )
  ),
"yyyy-mm-dd")</f>
        <v>2023-05-15</v>
      </c>
      <c r="K833" s="5" t="str">
        <f t="shared" si="100"/>
        <v>May</v>
      </c>
      <c r="L833">
        <v>1685854467</v>
      </c>
      <c r="M833" s="11">
        <f t="shared" si="101"/>
        <v>45081.20447916667</v>
      </c>
      <c r="O833" s="7">
        <f t="shared" si="102"/>
        <v>0</v>
      </c>
      <c r="P833" t="s">
        <v>52</v>
      </c>
      <c r="Q833" s="7" t="str">
        <f t="shared" si="103"/>
        <v xml:space="preserve">Prefers email </v>
      </c>
    </row>
    <row r="834" spans="1:17">
      <c r="A834">
        <v>1400</v>
      </c>
      <c r="B834" t="s">
        <v>21</v>
      </c>
      <c r="C834" s="9" t="str">
        <f t="shared" si="96"/>
        <v>David Brown</v>
      </c>
      <c r="D834" s="7" t="str">
        <f t="shared" si="97"/>
        <v xml:space="preserve"> David Brown </v>
      </c>
      <c r="E834">
        <v>32</v>
      </c>
      <c r="F834" s="7">
        <f t="shared" si="98"/>
        <v>32</v>
      </c>
      <c r="G834" t="s">
        <v>25</v>
      </c>
      <c r="H834" s="7" t="str">
        <f t="shared" si="99"/>
        <v>Japan</v>
      </c>
      <c r="I834" t="s">
        <v>755</v>
      </c>
      <c r="J834" s="7" t="str">
        <f>TEXT(
  IFERROR(
    DATEVALUE(SUBSTITUTE(SUBSTITUTE(TRIM(I834),"T"," "),"Z","")),
    IFERROR(
      DATE(
        RIGHT(TRIM(I834),4),
        MID(TRIM(I834),4,2),
        LEFT(TRIM(I834),2)
      ),
      DATE(
        VALUE(RIGHT(TRIM(I834),4)),
        MATCH(LEFT(TRIM(I834),FIND(" ",TRIM(I834))-1),
          {"January","February","March","April","May","June","July","August","September","October","November","December"},0),
        VALUE(MID(TRIM(I834),
          FIND(" ",TRIM(I834))+1,
          FIND(" ",TRIM(I834),FIND(" ",TRIM(I834))+1)-FIND(" ",TRIM(I834))-1))
      )
    )
  ),
"yyyy-mm-dd")</f>
        <v>2023-07-03</v>
      </c>
      <c r="K834" s="5" t="str">
        <f t="shared" si="100"/>
        <v>Jul</v>
      </c>
      <c r="L834">
        <v>1679322751</v>
      </c>
      <c r="M834" s="11">
        <f t="shared" si="101"/>
        <v>45005.605914351851</v>
      </c>
      <c r="O834" s="7">
        <f t="shared" si="102"/>
        <v>0</v>
      </c>
      <c r="P834" t="s">
        <v>52</v>
      </c>
      <c r="Q834" s="7" t="str">
        <f t="shared" si="103"/>
        <v xml:space="preserve">Prefers email </v>
      </c>
    </row>
    <row r="835" spans="1:17">
      <c r="A835">
        <v>1231</v>
      </c>
      <c r="B835" t="s">
        <v>72</v>
      </c>
      <c r="C835" s="9" t="str">
        <f t="shared" ref="C835:C839" si="104">TRIM(B835)</f>
        <v>Emily Davis</v>
      </c>
      <c r="D835" s="7" t="str">
        <f t="shared" ref="D835:D839" si="105">PROPER(B835)</f>
        <v>Emily Davis</v>
      </c>
      <c r="E835">
        <v>50</v>
      </c>
      <c r="F835" s="7">
        <f t="shared" ref="F835:F839" si="106">IF(OR(E835="", ISBLANK(E835)), MEDIAN($E$2:$E$1501), E835)</f>
        <v>50</v>
      </c>
      <c r="G835" t="s">
        <v>25</v>
      </c>
      <c r="H835" s="7" t="str">
        <f t="shared" ref="H835:H839" si="107">TRIM(G835)</f>
        <v>Japan</v>
      </c>
      <c r="I835" t="s">
        <v>756</v>
      </c>
      <c r="J835" s="7" t="str">
        <f>TEXT(
  IFERROR(
    DATEVALUE(SUBSTITUTE(SUBSTITUTE(TRIM(I835),"T"," "),"Z","")),
    IFERROR(
      DATE(
        RIGHT(TRIM(I835),4),
        MID(TRIM(I835),4,2),
        LEFT(TRIM(I835),2)
      ),
      DATE(
        VALUE(RIGHT(TRIM(I835),4)),
        MATCH(LEFT(TRIM(I835),FIND(" ",TRIM(I835))-1),
          {"January","February","March","April","May","June","July","August","September","October","November","December"},0),
        VALUE(MID(TRIM(I835),
          FIND(" ",TRIM(I835))+1,
          FIND(" ",TRIM(I835),FIND(" ",TRIM(I835))+1)-FIND(" ",TRIM(I835))-1))
      )
    )
  ),
"yyyy-mm-dd")</f>
        <v>2023-03-09</v>
      </c>
      <c r="K835" s="5" t="str">
        <f t="shared" ref="K835:K839" si="108">TEXT(J835,"mmm")</f>
        <v>Mar</v>
      </c>
      <c r="L835">
        <v>1689158545</v>
      </c>
      <c r="M835" s="11">
        <f t="shared" ref="M835:M839" si="109">((L835)/86400)+DATE(1970,1,1)</f>
        <v>45119.446122685185</v>
      </c>
      <c r="O835" s="7">
        <f t="shared" ref="O835:O839" si="110">IF(N835="", 0, N835)</f>
        <v>0</v>
      </c>
      <c r="P835" t="s">
        <v>118</v>
      </c>
      <c r="Q835" s="7" t="str">
        <f t="shared" ref="Q835:Q839" si="111">SUBSTITUTE(SUBSTITUTE(SUBSTITUTE(P835,"$",""),"%",""),"ñ","n")</f>
        <v>High engagement</v>
      </c>
    </row>
    <row r="836" spans="1:17">
      <c r="A836">
        <v>1249</v>
      </c>
      <c r="B836" t="s">
        <v>21</v>
      </c>
      <c r="C836" s="9" t="str">
        <f t="shared" si="104"/>
        <v>David Brown</v>
      </c>
      <c r="D836" s="7" t="str">
        <f t="shared" si="105"/>
        <v xml:space="preserve"> David Brown </v>
      </c>
      <c r="E836">
        <v>60</v>
      </c>
      <c r="F836" s="7">
        <f t="shared" si="106"/>
        <v>60</v>
      </c>
      <c r="G836" t="s">
        <v>102</v>
      </c>
      <c r="H836" s="7" t="str">
        <f t="shared" si="107"/>
        <v>Mexico</v>
      </c>
      <c r="I836" t="s">
        <v>91</v>
      </c>
      <c r="J836" s="7" t="str">
        <f>TEXT(
  IFERROR(
    DATEVALUE(SUBSTITUTE(SUBSTITUTE(TRIM(I836),"T"," "),"Z","")),
    IFERROR(
      DATE(
        RIGHT(TRIM(I836),4),
        MID(TRIM(I836),4,2),
        LEFT(TRIM(I836),2)
      ),
      DATE(
        VALUE(RIGHT(TRIM(I836),4)),
        MATCH(LEFT(TRIM(I836),FIND(" ",TRIM(I836))-1),
          {"January","February","March","April","May","June","July","August","September","October","November","December"},0),
        VALUE(MID(TRIM(I836),
          FIND(" ",TRIM(I836))+1,
          FIND(" ",TRIM(I836),FIND(" ",TRIM(I836))+1)-FIND(" ",TRIM(I836))-1))
      )
    )
  ),
"yyyy-mm-dd")</f>
        <v>2023-07-06</v>
      </c>
      <c r="K836" s="5" t="str">
        <f t="shared" si="108"/>
        <v>Jul</v>
      </c>
      <c r="L836">
        <v>1692406847</v>
      </c>
      <c r="M836" s="11">
        <f t="shared" si="109"/>
        <v>45157.042210648149</v>
      </c>
      <c r="N836">
        <v>83.28</v>
      </c>
      <c r="O836" s="7">
        <f t="shared" si="110"/>
        <v>83.28</v>
      </c>
      <c r="P836" t="s">
        <v>27</v>
      </c>
      <c r="Q836" s="7" t="str">
        <f t="shared" si="111"/>
        <v xml:space="preserve">Holiday signup </v>
      </c>
    </row>
    <row r="837" spans="1:17">
      <c r="A837">
        <v>2105</v>
      </c>
      <c r="B837" t="s">
        <v>72</v>
      </c>
      <c r="C837" s="9" t="str">
        <f t="shared" si="104"/>
        <v>Emily Davis</v>
      </c>
      <c r="D837" s="7" t="str">
        <f t="shared" si="105"/>
        <v>Emily Davis</v>
      </c>
      <c r="E837">
        <v>29</v>
      </c>
      <c r="F837" s="7">
        <f t="shared" si="106"/>
        <v>29</v>
      </c>
      <c r="G837" t="s">
        <v>25</v>
      </c>
      <c r="H837" s="7" t="str">
        <f t="shared" si="107"/>
        <v>Japan</v>
      </c>
      <c r="I837" t="s">
        <v>757</v>
      </c>
      <c r="J837" s="7" t="str">
        <f>TEXT(
  IFERROR(
    DATEVALUE(SUBSTITUTE(SUBSTITUTE(TRIM(I837),"T"," "),"Z","")),
    IFERROR(
      DATE(
        RIGHT(TRIM(I837),4),
        MID(TRIM(I837),4,2),
        LEFT(TRIM(I837),2)
      ),
      DATE(
        VALUE(RIGHT(TRIM(I837),4)),
        MATCH(LEFT(TRIM(I837),FIND(" ",TRIM(I837))-1),
          {"January","February","March","April","May","June","July","August","September","October","November","December"},0),
        VALUE(MID(TRIM(I837),
          FIND(" ",TRIM(I837))+1,
          FIND(" ",TRIM(I837),FIND(" ",TRIM(I837))+1)-FIND(" ",TRIM(I837))-1))
      )
    )
  ),
"yyyy-mm-dd")</f>
        <v>2023-07-29</v>
      </c>
      <c r="K837" s="5" t="str">
        <f t="shared" si="108"/>
        <v>Jul</v>
      </c>
      <c r="L837">
        <v>1683881211</v>
      </c>
      <c r="M837" s="11">
        <f t="shared" si="109"/>
        <v>45058.365868055553</v>
      </c>
      <c r="O837" s="7">
        <f t="shared" si="110"/>
        <v>0</v>
      </c>
      <c r="P837" t="s">
        <v>20</v>
      </c>
      <c r="Q837" s="7" t="str">
        <f t="shared" si="111"/>
        <v xml:space="preserve">Great customer </v>
      </c>
    </row>
    <row r="838" spans="1:17">
      <c r="A838">
        <v>2010</v>
      </c>
      <c r="B838" t="s">
        <v>24</v>
      </c>
      <c r="C838" s="9" t="str">
        <f t="shared" si="104"/>
        <v>Renée Dupont</v>
      </c>
      <c r="D838" s="7" t="str">
        <f t="shared" si="105"/>
        <v>Renée Dupont</v>
      </c>
      <c r="F838" s="7">
        <f t="shared" si="106"/>
        <v>43</v>
      </c>
      <c r="G838" t="s">
        <v>116</v>
      </c>
      <c r="H838" s="7" t="str">
        <f t="shared" si="107"/>
        <v>China</v>
      </c>
      <c r="I838" t="s">
        <v>758</v>
      </c>
      <c r="J838" s="7" t="str">
        <f>TEXT(
  IFERROR(
    DATEVALUE(SUBSTITUTE(SUBSTITUTE(TRIM(I838),"T"," "),"Z","")),
    IFERROR(
      DATE(
        RIGHT(TRIM(I838),4),
        MID(TRIM(I838),4,2),
        LEFT(TRIM(I838),2)
      ),
      DATE(
        VALUE(RIGHT(TRIM(I838),4)),
        MATCH(LEFT(TRIM(I838),FIND(" ",TRIM(I838))-1),
          {"January","February","March","April","May","June","July","August","September","October","November","December"},0),
        VALUE(MID(TRIM(I838),
          FIND(" ",TRIM(I838))+1,
          FIND(" ",TRIM(I838),FIND(" ",TRIM(I838))+1)-FIND(" ",TRIM(I838))-1))
      )
    )
  ),
"yyyy-mm-dd")</f>
        <v>2023-12-15</v>
      </c>
      <c r="K838" s="5" t="str">
        <f t="shared" si="108"/>
        <v>Dec</v>
      </c>
      <c r="L838">
        <v>1687743408</v>
      </c>
      <c r="M838" s="11">
        <f t="shared" si="109"/>
        <v>45103.06722222222</v>
      </c>
      <c r="N838">
        <v>722.7</v>
      </c>
      <c r="O838" s="7">
        <f t="shared" si="110"/>
        <v>722.7</v>
      </c>
      <c r="P838" t="s">
        <v>118</v>
      </c>
      <c r="Q838" s="7" t="str">
        <f t="shared" si="111"/>
        <v>High engagement</v>
      </c>
    </row>
    <row r="839" spans="1:17">
      <c r="A839">
        <v>2118</v>
      </c>
      <c r="B839" t="s">
        <v>80</v>
      </c>
      <c r="C839" s="9" t="str">
        <f t="shared" si="104"/>
        <v>Ahmed Hassan</v>
      </c>
      <c r="D839" s="7" t="str">
        <f t="shared" si="105"/>
        <v>Ahmed Hassan</v>
      </c>
      <c r="E839">
        <v>62</v>
      </c>
      <c r="F839" s="7">
        <f t="shared" si="106"/>
        <v>62</v>
      </c>
      <c r="G839" t="s">
        <v>111</v>
      </c>
      <c r="H839" s="7" t="str">
        <f t="shared" si="107"/>
        <v>South Korea</v>
      </c>
      <c r="I839" t="s">
        <v>169</v>
      </c>
      <c r="J839" s="7" t="str">
        <f>TEXT(
  IFERROR(
    DATEVALUE(SUBSTITUTE(SUBSTITUTE(TRIM(I839),"T"," "),"Z","")),
    IFERROR(
      DATE(
        RIGHT(TRIM(I839),4),
        MID(TRIM(I839),4,2),
        LEFT(TRIM(I839),2)
      ),
      DATE(
        VALUE(RIGHT(TRIM(I839),4)),
        MATCH(LEFT(TRIM(I839),FIND(" ",TRIM(I839))-1),
          {"January","February","March","April","May","June","July","August","September","October","November","December"},0),
        VALUE(MID(TRIM(I839),
          FIND(" ",TRIM(I839))+1,
          FIND(" ",TRIM(I839),FIND(" ",TRIM(I839))+1)-FIND(" ",TRIM(I839))-1))
      )
    )
  ),
"yyyy-mm-dd")</f>
        <v>2023-02-16</v>
      </c>
      <c r="K839" s="5" t="str">
        <f t="shared" si="108"/>
        <v>Feb</v>
      </c>
      <c r="L839">
        <v>1703516529</v>
      </c>
      <c r="M839" s="11">
        <f t="shared" si="109"/>
        <v>45285.626493055555</v>
      </c>
      <c r="O839" s="7">
        <f t="shared" si="110"/>
        <v>0</v>
      </c>
      <c r="P839" t="s">
        <v>36</v>
      </c>
      <c r="Q839" s="7" t="str">
        <f t="shared" si="111"/>
        <v>Regular shopper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86D0-C0B5-44D3-9D01-D37587D08EAA}">
  <dimension ref="A1:K57"/>
  <sheetViews>
    <sheetView topLeftCell="A36" workbookViewId="0">
      <selection activeCell="N47" sqref="N47"/>
    </sheetView>
  </sheetViews>
  <sheetFormatPr defaultRowHeight="15"/>
  <cols>
    <col min="1" max="1" width="15.42578125" bestFit="1" customWidth="1"/>
    <col min="2" max="2" width="19.7109375" bestFit="1" customWidth="1"/>
    <col min="3" max="322" width="11.140625" bestFit="1" customWidth="1"/>
    <col min="323" max="323" width="11.7109375" bestFit="1" customWidth="1"/>
    <col min="324" max="326" width="8.28515625" bestFit="1" customWidth="1"/>
    <col min="327" max="327" width="7.140625" bestFit="1" customWidth="1"/>
    <col min="328" max="330" width="8.28515625" bestFit="1" customWidth="1"/>
    <col min="331" max="331" width="7.140625" bestFit="1" customWidth="1"/>
    <col min="332" max="344" width="8.28515625" bestFit="1" customWidth="1"/>
    <col min="345" max="345" width="7.140625" bestFit="1" customWidth="1"/>
    <col min="346" max="348" width="8.28515625" bestFit="1" customWidth="1"/>
    <col min="349" max="349" width="7.140625" bestFit="1" customWidth="1"/>
    <col min="350" max="368" width="8.28515625" bestFit="1" customWidth="1"/>
    <col min="369" max="369" width="7.140625" bestFit="1" customWidth="1"/>
    <col min="370" max="371" width="8.28515625" bestFit="1" customWidth="1"/>
    <col min="372" max="372" width="7.140625" bestFit="1" customWidth="1"/>
    <col min="373" max="373" width="8.28515625" bestFit="1" customWidth="1"/>
    <col min="374" max="374" width="7.140625" bestFit="1" customWidth="1"/>
    <col min="375" max="387" width="8.28515625" bestFit="1" customWidth="1"/>
    <col min="388" max="388" width="7.140625" bestFit="1" customWidth="1"/>
    <col min="389" max="392" width="8.28515625" bestFit="1" customWidth="1"/>
    <col min="393" max="393" width="7.140625" bestFit="1" customWidth="1"/>
    <col min="394" max="397" width="8.28515625" bestFit="1" customWidth="1"/>
    <col min="398" max="398" width="7.42578125" bestFit="1" customWidth="1"/>
    <col min="399" max="399" width="11.7109375" bestFit="1" customWidth="1"/>
  </cols>
  <sheetData>
    <row r="1" spans="1:11">
      <c r="A1" s="3"/>
      <c r="B1" s="3" t="s">
        <v>759</v>
      </c>
      <c r="C1" s="3"/>
      <c r="D1" s="3"/>
      <c r="E1" s="3"/>
      <c r="F1" s="3"/>
      <c r="G1" s="3"/>
      <c r="H1" s="3"/>
      <c r="I1" s="3"/>
      <c r="J1" s="3"/>
      <c r="K1" s="3"/>
    </row>
    <row r="2" spans="1:11">
      <c r="J2" t="s">
        <v>760</v>
      </c>
    </row>
    <row r="3" spans="1:11">
      <c r="A3" s="2" t="s">
        <v>6</v>
      </c>
      <c r="B3" t="s">
        <v>761</v>
      </c>
    </row>
    <row r="4" spans="1:11">
      <c r="A4" t="s">
        <v>54</v>
      </c>
      <c r="B4">
        <v>12955.36</v>
      </c>
      <c r="J4" t="s">
        <v>762</v>
      </c>
    </row>
    <row r="5" spans="1:11">
      <c r="A5" t="s">
        <v>116</v>
      </c>
      <c r="B5">
        <v>21161.269999999997</v>
      </c>
      <c r="J5" t="s">
        <v>763</v>
      </c>
    </row>
    <row r="6" spans="1:11">
      <c r="A6" t="s">
        <v>60</v>
      </c>
      <c r="B6">
        <v>18275.61</v>
      </c>
    </row>
    <row r="7" spans="1:11">
      <c r="A7" t="s">
        <v>48</v>
      </c>
      <c r="B7">
        <v>8958.56</v>
      </c>
      <c r="J7" t="s">
        <v>764</v>
      </c>
    </row>
    <row r="8" spans="1:11">
      <c r="A8" t="s">
        <v>22</v>
      </c>
      <c r="B8">
        <v>13367.859999999999</v>
      </c>
    </row>
    <row r="9" spans="1:11">
      <c r="A9" t="s">
        <v>62</v>
      </c>
      <c r="B9">
        <v>14227.489999999998</v>
      </c>
    </row>
    <row r="10" spans="1:11">
      <c r="A10" t="s">
        <v>122</v>
      </c>
      <c r="B10">
        <v>15961.980000000001</v>
      </c>
    </row>
    <row r="11" spans="1:11">
      <c r="A11" t="s">
        <v>25</v>
      </c>
      <c r="B11">
        <v>10659.149999999998</v>
      </c>
    </row>
    <row r="12" spans="1:11">
      <c r="A12" t="s">
        <v>102</v>
      </c>
      <c r="B12">
        <v>17216.780000000002</v>
      </c>
    </row>
    <row r="13" spans="1:11">
      <c r="A13" t="s">
        <v>111</v>
      </c>
      <c r="B13">
        <v>17665.050000000003</v>
      </c>
    </row>
    <row r="14" spans="1:11">
      <c r="A14" t="s">
        <v>38</v>
      </c>
      <c r="B14">
        <v>11657.34</v>
      </c>
    </row>
    <row r="15" spans="1:11">
      <c r="A15" t="s">
        <v>67</v>
      </c>
      <c r="B15">
        <v>14231.71</v>
      </c>
    </row>
    <row r="16" spans="1:11">
      <c r="A16" t="s">
        <v>44</v>
      </c>
      <c r="B16">
        <v>22685.98</v>
      </c>
    </row>
    <row r="17" spans="1:11">
      <c r="A17" t="s">
        <v>18</v>
      </c>
      <c r="B17">
        <v>41446.380000000005</v>
      </c>
    </row>
    <row r="18" spans="1:11">
      <c r="A18" t="s">
        <v>29</v>
      </c>
      <c r="B18">
        <v>50454.41</v>
      </c>
    </row>
    <row r="19" spans="1:11">
      <c r="A19" t="s">
        <v>765</v>
      </c>
      <c r="B19">
        <v>290924.93</v>
      </c>
      <c r="D19">
        <f>B18/B19*100</f>
        <v>17.342759178458859</v>
      </c>
    </row>
    <row r="21" spans="1:11">
      <c r="A21" s="4"/>
      <c r="B21" s="4" t="s">
        <v>766</v>
      </c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J22" t="s">
        <v>767</v>
      </c>
    </row>
    <row r="23" spans="1:11">
      <c r="A23" s="2" t="s">
        <v>10</v>
      </c>
      <c r="B23" t="s">
        <v>768</v>
      </c>
      <c r="J23" t="s">
        <v>769</v>
      </c>
    </row>
    <row r="24" spans="1:11">
      <c r="A24" t="s">
        <v>770</v>
      </c>
      <c r="B24">
        <v>64</v>
      </c>
      <c r="J24" t="s">
        <v>771</v>
      </c>
    </row>
    <row r="25" spans="1:11">
      <c r="A25" t="s">
        <v>772</v>
      </c>
      <c r="B25">
        <v>75</v>
      </c>
      <c r="J25" t="s">
        <v>773</v>
      </c>
    </row>
    <row r="26" spans="1:11">
      <c r="A26" t="s">
        <v>774</v>
      </c>
      <c r="B26">
        <v>71</v>
      </c>
    </row>
    <row r="27" spans="1:11">
      <c r="A27" t="s">
        <v>775</v>
      </c>
      <c r="B27">
        <v>85</v>
      </c>
    </row>
    <row r="28" spans="1:11">
      <c r="A28" t="s">
        <v>776</v>
      </c>
      <c r="B28">
        <v>77</v>
      </c>
    </row>
    <row r="29" spans="1:11">
      <c r="A29" t="s">
        <v>777</v>
      </c>
      <c r="B29">
        <v>56</v>
      </c>
    </row>
    <row r="30" spans="1:11">
      <c r="A30" t="s">
        <v>778</v>
      </c>
      <c r="B30">
        <v>69</v>
      </c>
    </row>
    <row r="31" spans="1:11">
      <c r="A31" t="s">
        <v>779</v>
      </c>
      <c r="B31">
        <v>79</v>
      </c>
    </row>
    <row r="32" spans="1:11">
      <c r="A32" t="s">
        <v>780</v>
      </c>
      <c r="B32">
        <v>56</v>
      </c>
    </row>
    <row r="33" spans="1:11">
      <c r="A33" t="s">
        <v>781</v>
      </c>
      <c r="B33">
        <v>66</v>
      </c>
    </row>
    <row r="34" spans="1:11">
      <c r="A34" t="s">
        <v>782</v>
      </c>
      <c r="B34">
        <v>68</v>
      </c>
    </row>
    <row r="35" spans="1:11">
      <c r="A35" t="s">
        <v>783</v>
      </c>
      <c r="B35">
        <v>72</v>
      </c>
    </row>
    <row r="36" spans="1:11">
      <c r="A36" t="s">
        <v>765</v>
      </c>
      <c r="B36">
        <v>838</v>
      </c>
    </row>
    <row r="40" spans="1:11">
      <c r="A40" s="5"/>
      <c r="B40" s="5" t="s">
        <v>784</v>
      </c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2" t="s">
        <v>6</v>
      </c>
      <c r="B41" t="s">
        <v>785</v>
      </c>
      <c r="J41" t="s">
        <v>786</v>
      </c>
    </row>
    <row r="42" spans="1:11">
      <c r="A42" t="s">
        <v>54</v>
      </c>
      <c r="B42">
        <v>77061</v>
      </c>
      <c r="J42" t="s">
        <v>787</v>
      </c>
    </row>
    <row r="43" spans="1:11">
      <c r="A43" t="s">
        <v>116</v>
      </c>
      <c r="B43">
        <v>100417</v>
      </c>
      <c r="J43" t="s">
        <v>788</v>
      </c>
    </row>
    <row r="44" spans="1:11">
      <c r="A44" t="s">
        <v>60</v>
      </c>
      <c r="B44">
        <v>91612</v>
      </c>
    </row>
    <row r="45" spans="1:11">
      <c r="A45" t="s">
        <v>48</v>
      </c>
      <c r="B45">
        <v>52068</v>
      </c>
    </row>
    <row r="46" spans="1:11">
      <c r="A46" t="s">
        <v>22</v>
      </c>
      <c r="B46">
        <v>77781</v>
      </c>
    </row>
    <row r="47" spans="1:11">
      <c r="A47" t="s">
        <v>62</v>
      </c>
      <c r="B47">
        <v>69999</v>
      </c>
    </row>
    <row r="48" spans="1:11">
      <c r="A48" t="s">
        <v>122</v>
      </c>
      <c r="B48">
        <v>68261</v>
      </c>
    </row>
    <row r="49" spans="1:2">
      <c r="A49" t="s">
        <v>25</v>
      </c>
      <c r="B49">
        <v>57776</v>
      </c>
    </row>
    <row r="50" spans="1:2">
      <c r="A50" t="s">
        <v>102</v>
      </c>
      <c r="B50">
        <v>77935</v>
      </c>
    </row>
    <row r="51" spans="1:2">
      <c r="A51" t="s">
        <v>111</v>
      </c>
      <c r="B51">
        <v>73338</v>
      </c>
    </row>
    <row r="52" spans="1:2">
      <c r="A52" t="s">
        <v>38</v>
      </c>
      <c r="B52">
        <v>68913</v>
      </c>
    </row>
    <row r="53" spans="1:2">
      <c r="A53" t="s">
        <v>67</v>
      </c>
      <c r="B53">
        <v>61465</v>
      </c>
    </row>
    <row r="54" spans="1:2">
      <c r="A54" t="s">
        <v>44</v>
      </c>
      <c r="B54">
        <v>90711</v>
      </c>
    </row>
    <row r="55" spans="1:2">
      <c r="A55" t="s">
        <v>18</v>
      </c>
      <c r="B55">
        <v>150831</v>
      </c>
    </row>
    <row r="56" spans="1:2">
      <c r="A56" t="s">
        <v>29</v>
      </c>
      <c r="B56">
        <v>224287</v>
      </c>
    </row>
    <row r="57" spans="1:2">
      <c r="A57" t="s">
        <v>765</v>
      </c>
      <c r="B57">
        <v>1342455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BE5AF915988540A62BCC0627A38E6C" ma:contentTypeVersion="18" ma:contentTypeDescription="Create a new document." ma:contentTypeScope="" ma:versionID="72b671f06152c70d978fcc0310321c77">
  <xsd:schema xmlns:xsd="http://www.w3.org/2001/XMLSchema" xmlns:xs="http://www.w3.org/2001/XMLSchema" xmlns:p="http://schemas.microsoft.com/office/2006/metadata/properties" xmlns:ns1="http://schemas.microsoft.com/sharepoint/v3" xmlns:ns2="2e3c1374-b08e-47ad-9bf1-6cda6b74ccb2" xmlns:ns3="1b247149-094d-454e-8e3b-44fbe0782df6" targetNamespace="http://schemas.microsoft.com/office/2006/metadata/properties" ma:root="true" ma:fieldsID="3c3f43b302635d6e0a4754a2ad27dbf7" ns1:_="" ns2:_="" ns3:_="">
    <xsd:import namespace="http://schemas.microsoft.com/sharepoint/v3"/>
    <xsd:import namespace="2e3c1374-b08e-47ad-9bf1-6cda6b74ccb2"/>
    <xsd:import namespace="1b247149-094d-454e-8e3b-44fbe0782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c1374-b08e-47ad-9bf1-6cda6b74c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1ce8bf2-6ffd-42cd-8353-a6283cfd1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47149-094d-454e-8e3b-44fbe0782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633025d-60f0-481a-9919-d5187f3b4349}" ma:internalName="TaxCatchAll" ma:showField="CatchAllData" ma:web="1b247149-094d-454e-8e3b-44fbe0782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b247149-094d-454e-8e3b-44fbe0782df6" xsi:nil="true"/>
    <_ip_UnifiedCompliancePolicyProperties xmlns="http://schemas.microsoft.com/sharepoint/v3" xsi:nil="true"/>
    <lcf76f155ced4ddcb4097134ff3c332f xmlns="2e3c1374-b08e-47ad-9bf1-6cda6b74cc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8605FC-584B-4B13-9479-E0AAC10D9E90}"/>
</file>

<file path=customXml/itemProps2.xml><?xml version="1.0" encoding="utf-8"?>
<ds:datastoreItem xmlns:ds="http://schemas.openxmlformats.org/officeDocument/2006/customXml" ds:itemID="{C250CB12-205E-4E67-8126-5A515E09F059}"/>
</file>

<file path=customXml/itemProps3.xml><?xml version="1.0" encoding="utf-8"?>
<ds:datastoreItem xmlns:ds="http://schemas.openxmlformats.org/officeDocument/2006/customXml" ds:itemID="{3A540266-214F-47A0-9D67-35F3BB4760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2026-03-10T07:24:22Z</dcterms:created>
  <dcterms:modified xsi:type="dcterms:W3CDTF">2026-06-10T08:26:12Z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0x01010085BE5AF915988540A62BCC0627A38E6C</vt:lpwstr>
  </property>
  <property fmtid="{D5CDD505-2E9C-101B-9397-08002B2CF9AE}" pid="3" name="MediaServiceImageTags">
    <vt:lpwstr/>
  </property>
</Properties>
</file>